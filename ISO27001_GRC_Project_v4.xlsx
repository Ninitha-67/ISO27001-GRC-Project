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liance Register" sheetId="2" state="visible" r:id="rId2"/>
    <sheet xmlns:r="http://schemas.openxmlformats.org/officeDocument/2006/relationships" name="Audit Evidence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SoA" sheetId="6" state="visible" r:id="rId6"/>
    <sheet xmlns:r="http://schemas.openxmlformats.org/officeDocument/2006/relationships" name="Annex A Controls" sheetId="7" state="visible" r:id="rId7"/>
    <sheet xmlns:r="http://schemas.openxmlformats.org/officeDocument/2006/relationships" name="Control-Risk Mapping" sheetId="8" state="visible" r:id="rId8"/>
    <sheet xmlns:r="http://schemas.openxmlformats.org/officeDocument/2006/relationships" name="Risk Trends" sheetId="9" state="visible" r:id="rId9"/>
    <sheet xmlns:r="http://schemas.openxmlformats.org/officeDocument/2006/relationships" name="Instructions" sheetId="10" state="visible" r:id="rId10"/>
    <sheet xmlns:r="http://schemas.openxmlformats.org/officeDocument/2006/relationships" name="Lists" sheetId="11" state="hidden" r:id="rId11"/>
  </sheets>
  <definedNames>
    <definedName name="_xlnm._FilterDatabase" localSheetId="1" hidden="1">'Compliance Register'!$A$1:$J$8</definedName>
    <definedName name="_xlnm._FilterDatabase" localSheetId="2" hidden="1">'Audit Evidence'!$A$1:$I$8</definedName>
    <definedName name="_xlnm._FilterDatabase" localSheetId="3" hidden="1">'Risk Register'!$A$1:$Q$16</definedName>
    <definedName name="_xlnm._FilterDatabase" localSheetId="5" hidden="1">'SoA'!$A$1:$K$94</definedName>
    <definedName name="_xlnm._FilterDatabase" localSheetId="6" hidden="1">'Annex A Controls'!$A$1:$E$87</definedName>
    <definedName name="_xlnm._FilterDatabase" localSheetId="7" hidden="1">'Control-Risk Mapping'!$A$1:$I$7</definedName>
    <definedName name="_xlnm._FilterDatabase" localSheetId="8" hidden="1">'Risk Trends'!$A$1:$H$7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color rgb="FF1F4E78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2"/>
    </font>
    <font>
      <b val="1"/>
      <sz val="16"/>
    </font>
    <font>
      <i val="1"/>
    </font>
    <font>
      <b val="1"/>
      <color rgb="00FFFFFF"/>
    </font>
    <font>
      <b val="1"/>
    </font>
    <font>
      <b val="1"/>
      <color rgb="00FFFFFF"/>
      <sz val="18"/>
    </font>
    <font>
      <i val="1"/>
      <color rgb="00365F91"/>
    </font>
    <font>
      <b val="1"/>
      <sz val="15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6B6B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8FB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C7D7E5"/>
      </left>
      <right style="thin">
        <color rgb="00C7D7E5"/>
      </right>
      <top style="thin">
        <color rgb="00C7D7E5"/>
      </top>
      <bottom style="thin">
        <color rgb="00C7D7E5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7" borderId="2" applyAlignment="1" pivotButton="0" quotePrefix="0" xfId="0">
      <alignment horizontal="center" vertical="center"/>
    </xf>
    <xf numFmtId="0" fontId="12" fillId="8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3" fillId="7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2" fillId="8" borderId="7" applyAlignment="1" pivotButton="0" quotePrefix="0" xfId="0">
      <alignment horizontal="center" vertical="center"/>
    </xf>
    <xf numFmtId="0" fontId="15" fillId="10" borderId="7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00C0000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92D05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 by Level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'Dashboard'!$A$28:$A$33</f>
            </numRef>
          </cat>
          <val>
            <numRef>
              <f>'Dashboard'!$B$28:$B$33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Control Implementation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'Dashboard'!$A$44:$A$47</f>
            </numRef>
          </cat>
          <val>
            <numRef>
              <f>'Dashboard'!$B$44:$B$47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'Risk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'Risk Trends'!$A$2:$A$7</f>
            </numRef>
          </cat>
          <val>
            <numRef>
              <f>'Risk Trends'!$B$2:$B$7</f>
            </numRef>
          </val>
        </ser>
        <ser>
          <idx val="1"/>
          <order val="1"/>
          <tx>
            <strRef>
              <f>'Risk 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'Risk Trends'!$A$2:$A$7</f>
            </numRef>
          </cat>
          <val>
            <numRef>
              <f>'Risk Trends'!$C$2:$C$7</f>
            </numRef>
          </val>
        </ser>
        <ser>
          <idx val="2"/>
          <order val="2"/>
          <tx>
            <strRef>
              <f>'Risk Trends'!D1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'Risk Trends'!$A$2:$A$7</f>
            </numRef>
          </cat>
          <val>
            <numRef>
              <f>'Risk Trends'!$D$2:$D$7</f>
            </numRef>
          </val>
        </ser>
        <ser>
          <idx val="3"/>
          <order val="3"/>
          <tx>
            <strRef>
              <f>'Risk Trends'!E1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'Risk Trends'!$A$2:$A$7</f>
            </numRef>
          </cat>
          <val>
            <numRef>
              <f>'Risk Trends'!$E$2:$E$7</f>
            </numRef>
          </val>
        </ser>
        <ser>
          <idx val="4"/>
          <order val="4"/>
          <tx>
            <strRef>
              <f>'Risk Trends'!F1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'Risk Trends'!$A$2:$A$7</f>
            </numRef>
          </cat>
          <val>
            <numRef>
              <f>'Risk Trends'!$F$2:$F$7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26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26</row>
      <rowOff>0</rowOff>
    </from>
    <ext cx="43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42</row>
      <rowOff>0</rowOff>
    </from>
    <ext cx="43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14" customWidth="1" style="13" min="2" max="2"/>
    <col width="3" customWidth="1" style="13" min="3" max="3"/>
    <col width="18" customWidth="1" style="13" min="4" max="4"/>
    <col width="14" customWidth="1" style="13" min="5" max="5"/>
    <col width="3" customWidth="1" style="13" min="6" max="6"/>
    <col width="18" customWidth="1" style="13" min="7" max="7"/>
    <col width="14" customWidth="1" style="13" min="8" max="8"/>
    <col width="3" customWidth="1" style="13" min="9" max="9"/>
    <col width="18" customWidth="1" style="13" min="10" max="10"/>
    <col width="14" customWidth="1" style="13" min="11" max="11"/>
    <col width="3" customWidth="1" style="13" min="12" max="12"/>
    <col width="18" customWidth="1" style="13" min="13" max="13"/>
    <col width="14" customWidth="1" style="13" min="14" max="14"/>
    <col width="3" customWidth="1" style="13" min="15" max="15"/>
    <col width="18" customWidth="1" style="13" min="16" max="16"/>
    <col width="14" customWidth="1" style="13" min="17" max="17"/>
  </cols>
  <sheetData>
    <row r="1" ht="22" customHeight="1" s="13">
      <c r="A1" s="31" t="inlineStr">
        <is>
          <t>ISO/IEC 27001 GRC Executive Dashboard</t>
        </is>
      </c>
    </row>
    <row r="2" ht="22" customHeight="1" s="13"/>
    <row r="3" ht="22" customHeight="1" s="13">
      <c r="A3" s="32" t="inlineStr">
        <is>
          <t>Risk, compliance, evidence, and control status at a glance</t>
        </is>
      </c>
    </row>
    <row r="4" ht="22" customHeight="1" s="13"/>
    <row r="5" ht="22" customHeight="1" s="13">
      <c r="A5" s="33" t="inlineStr">
        <is>
          <t>Total Risks</t>
        </is>
      </c>
      <c r="D5" s="33" t="inlineStr">
        <is>
          <t>Critical Risks</t>
        </is>
      </c>
      <c r="G5" s="33" t="inlineStr">
        <is>
          <t>High Risks</t>
        </is>
      </c>
      <c r="J5" s="33" t="inlineStr">
        <is>
          <t>Open Compliance</t>
        </is>
      </c>
      <c r="M5" s="33" t="inlineStr">
        <is>
          <t>Evidence Items</t>
        </is>
      </c>
      <c r="P5" s="33" t="inlineStr">
        <is>
          <t>Overdue Reviews</t>
        </is>
      </c>
    </row>
    <row r="6" ht="22" customHeight="1" s="13">
      <c r="A6" s="34">
        <f>COUNTIF('Risk Register'!A2:A200,"&lt;&gt;")</f>
        <v/>
      </c>
      <c r="D6" s="34">
        <f>COUNTIF('Risk Register'!K2:K200,"Critical")</f>
        <v/>
      </c>
      <c r="G6" s="34">
        <f>COUNTIF('Risk Register'!K2:K200,"High")</f>
        <v/>
      </c>
      <c r="J6" s="34">
        <f>COUNTIF('Compliance Register'!F2:F200,"In Progress")+COUNTIF('Compliance Register'!F2:F200,"Planned")</f>
        <v/>
      </c>
      <c r="M6" s="34">
        <f>COUNTIF('Audit Evidence'!I2:I200,"Current")</f>
        <v/>
      </c>
      <c r="P6" s="34">
        <f>COUNTIF('Compliance Register'!I2:I200,"&lt;"&amp;TODAY())</f>
        <v/>
      </c>
    </row>
    <row r="7" ht="22" customHeight="1" s="13"/>
    <row r="8" ht="22" customHeight="1" s="13"/>
    <row r="9" ht="22" customHeight="1" s="13"/>
    <row r="10" ht="22" customHeight="1" s="13">
      <c r="A10" s="35" t="inlineStr">
        <is>
          <t>Risk Distribution</t>
        </is>
      </c>
    </row>
    <row r="11" ht="22" customHeight="1" s="13"/>
    <row r="12" ht="22" customHeight="1" s="13">
      <c r="A12" t="inlineStr">
        <is>
          <t>Critical</t>
        </is>
      </c>
      <c r="B12">
        <f>COUNTIF('Risk Register'!K2:K200,A12)</f>
        <v/>
      </c>
    </row>
    <row r="13" ht="22" customHeight="1" s="13">
      <c r="A13" t="inlineStr">
        <is>
          <t>High</t>
        </is>
      </c>
      <c r="B13">
        <f>COUNTIF('Risk Register'!K2:K200,A13)</f>
        <v/>
      </c>
    </row>
    <row r="14" ht="22" customHeight="1" s="13">
      <c r="A14" t="inlineStr">
        <is>
          <t>Medium</t>
        </is>
      </c>
      <c r="B14">
        <f>COUNTIF('Risk Register'!K2:K200,A14)</f>
        <v/>
      </c>
    </row>
    <row r="15" ht="22" customHeight="1" s="13">
      <c r="A15" t="inlineStr">
        <is>
          <t>Low</t>
        </is>
      </c>
      <c r="B15">
        <f>COUNTIF('Risk Register'!K2:K200,A15)</f>
        <v/>
      </c>
    </row>
    <row r="16" ht="22" customHeight="1" s="13"/>
    <row r="17" ht="22" customHeight="1" s="13"/>
    <row r="18" ht="22" customHeight="1" s="13"/>
    <row r="19" ht="22" customHeight="1" s="13"/>
    <row r="20" ht="22" customHeight="1" s="13"/>
    <row r="21" ht="22" customHeight="1" s="13"/>
    <row r="22" ht="22" customHeight="1" s="13"/>
    <row r="23" ht="22" customHeight="1" s="13"/>
    <row r="24" ht="22" customHeight="1" s="13"/>
    <row r="25" ht="22" customHeight="1" s="13"/>
    <row r="26" ht="22" customHeight="1" s="13">
      <c r="A26" s="35" t="inlineStr">
        <is>
          <t>Owner Exposure</t>
        </is>
      </c>
    </row>
    <row r="27" ht="22" customHeight="1" s="13"/>
    <row r="28" ht="22" customHeight="1" s="13">
      <c r="A28" t="inlineStr">
        <is>
          <t>CISO</t>
        </is>
      </c>
      <c r="B28">
        <f>COUNTIF('Risk Register'!M2:M200,A28)</f>
        <v/>
      </c>
    </row>
    <row r="29" ht="22" customHeight="1" s="13">
      <c r="A29" t="inlineStr">
        <is>
          <t>IT Manager</t>
        </is>
      </c>
      <c r="B29">
        <f>COUNTIF('Risk Register'!M2:M200,A29)</f>
        <v/>
      </c>
    </row>
    <row r="30" ht="22" customHeight="1" s="13">
      <c r="A30" t="inlineStr">
        <is>
          <t>Security Lead</t>
        </is>
      </c>
      <c r="B30">
        <f>COUNTIF('Risk Register'!M2:M200,A30)</f>
        <v/>
      </c>
    </row>
    <row r="31" ht="22" customHeight="1" s="13">
      <c r="A31" t="inlineStr">
        <is>
          <t>Compliance</t>
        </is>
      </c>
      <c r="B31">
        <f>COUNTIF('Risk Register'!M2:M200,A31)</f>
        <v/>
      </c>
    </row>
    <row r="32" ht="22" customHeight="1" s="13">
      <c r="A32" t="inlineStr">
        <is>
          <t>Operations</t>
        </is>
      </c>
      <c r="B32">
        <f>COUNTIF('Risk Register'!M2:M200,A32)</f>
        <v/>
      </c>
    </row>
    <row r="33" ht="22" customHeight="1" s="13">
      <c r="A33" t="inlineStr">
        <is>
          <t>Audit Lead</t>
        </is>
      </c>
      <c r="B33">
        <f>COUNTIF('Risk Register'!M2:M200,A33)</f>
        <v/>
      </c>
    </row>
    <row r="34" ht="22" customHeight="1" s="13"/>
    <row r="35" ht="22" customHeight="1" s="13"/>
    <row r="36" ht="22" customHeight="1" s="13"/>
    <row r="37" ht="22" customHeight="1" s="13"/>
    <row r="38" ht="22" customHeight="1" s="13"/>
    <row r="39" ht="22" customHeight="1" s="13"/>
    <row r="40" ht="22" customHeight="1" s="13"/>
    <row r="41" ht="22" customHeight="1" s="13"/>
    <row r="42" ht="22" customHeight="1" s="13">
      <c r="A42" s="35" t="inlineStr">
        <is>
          <t>Control Implementation</t>
        </is>
      </c>
    </row>
    <row r="43" ht="22" customHeight="1" s="13"/>
    <row r="44" ht="22" customHeight="1" s="13">
      <c r="A44" t="inlineStr">
        <is>
          <t>Planned</t>
        </is>
      </c>
      <c r="B44">
        <f>COUNTIF('SoA'!E2:E200,A44)</f>
        <v/>
      </c>
    </row>
    <row r="45" ht="22" customHeight="1" s="13">
      <c r="A45" t="inlineStr">
        <is>
          <t>In Progress</t>
        </is>
      </c>
      <c r="B45">
        <f>COUNTIF('SoA'!E2:E200,A45)</f>
        <v/>
      </c>
    </row>
    <row r="46" ht="22" customHeight="1" s="13">
      <c r="A46" t="inlineStr">
        <is>
          <t>Implemented</t>
        </is>
      </c>
      <c r="B46">
        <f>COUNTIF('SoA'!E2:E200,A46)</f>
        <v/>
      </c>
    </row>
    <row r="47" ht="22" customHeight="1" s="13">
      <c r="A47" t="inlineStr">
        <is>
          <t>Complete</t>
        </is>
      </c>
      <c r="B47">
        <f>COUNTIF('SoA'!E2:E200,A47)</f>
        <v/>
      </c>
    </row>
    <row r="48" ht="22" customHeight="1" s="13"/>
    <row r="49" ht="22" customHeight="1" s="13"/>
    <row r="50" ht="22" customHeight="1" s="13"/>
    <row r="51" ht="22" customHeight="1" s="13"/>
    <row r="52" ht="22" customHeight="1" s="13"/>
    <row r="53" ht="22" customHeight="1" s="13"/>
    <row r="54" ht="22" customHeight="1" s="13"/>
    <row r="55" ht="22" customHeight="1" s="13"/>
    <row r="56" ht="22" customHeight="1" s="13"/>
    <row r="57" ht="22" customHeight="1" s="13"/>
    <row r="58" ht="22" customHeight="1" s="13">
      <c r="A58" s="35" t="inlineStr">
        <is>
          <t>Risk Trend</t>
        </is>
      </c>
    </row>
    <row r="59" ht="22" customHeight="1" s="13"/>
    <row r="60" ht="22" customHeight="1" s="13"/>
    <row r="61" ht="22" customHeight="1" s="13"/>
    <row r="62" ht="22" customHeight="1" s="13"/>
    <row r="63" ht="22" customHeight="1" s="13"/>
    <row r="64" ht="22" customHeight="1" s="13"/>
    <row r="65" ht="22" customHeight="1" s="13"/>
    <row r="66" ht="22" customHeight="1" s="13"/>
    <row r="67" ht="22" customHeight="1" s="13"/>
    <row r="68" ht="22" customHeight="1" s="13"/>
    <row r="69" ht="22" customHeight="1" s="13"/>
    <row r="70" ht="22" customHeight="1" s="13"/>
    <row r="71" ht="22" customHeight="1" s="13"/>
    <row r="72" ht="22" customHeight="1" s="13"/>
    <row r="73" ht="22" customHeight="1" s="13"/>
    <row r="74" ht="22" customHeight="1" s="13"/>
    <row r="75" ht="22" customHeight="1" s="13"/>
    <row r="76" ht="22" customHeight="1" s="13"/>
    <row r="77" ht="22" customHeight="1" s="13"/>
    <row r="78" ht="22" customHeight="1" s="13"/>
    <row r="79" ht="22" customHeight="1" s="13"/>
    <row r="80" ht="22" customHeight="1" s="13"/>
    <row r="81" ht="22" customHeight="1" s="13"/>
    <row r="82" ht="22" customHeight="1" s="13"/>
    <row r="83" ht="22" customHeight="1" s="13"/>
    <row r="84" ht="22" customHeight="1" s="13"/>
    <row r="85" ht="22" customHeight="1" s="13"/>
    <row r="86" ht="22" customHeight="1" s="13"/>
    <row r="87" ht="22" customHeight="1" s="13"/>
    <row r="88" ht="22" customHeight="1" s="13"/>
    <row r="89" ht="22" customHeight="1" s="13"/>
  </sheetData>
  <mergeCells count="18">
    <mergeCell ref="J5:L5"/>
    <mergeCell ref="P6:R8"/>
    <mergeCell ref="A58:Q58"/>
    <mergeCell ref="A6:C8"/>
    <mergeCell ref="G6:I8"/>
    <mergeCell ref="D5:F5"/>
    <mergeCell ref="A3:Q3"/>
    <mergeCell ref="A5:C5"/>
    <mergeCell ref="D6:F8"/>
    <mergeCell ref="G5:I5"/>
    <mergeCell ref="J6:L8"/>
    <mergeCell ref="P5:R5"/>
    <mergeCell ref="M5:O5"/>
    <mergeCell ref="M6:O8"/>
    <mergeCell ref="A26:Q26"/>
    <mergeCell ref="A10:Q10"/>
    <mergeCell ref="A42:Q42"/>
    <mergeCell ref="A1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3" min="1" max="1"/>
    <col width="18" customWidth="1" style="13" min="2" max="2"/>
    <col width="42" customWidth="1" style="13" min="3" max="3"/>
    <col width="16" customWidth="1" style="13" min="4" max="4"/>
    <col width="14" customWidth="1" style="13" min="5" max="5"/>
    <col width="14" customWidth="1" style="13" min="6" max="6"/>
    <col width="12" customWidth="1" style="13" min="7" max="7"/>
    <col width="12" customWidth="1" style="13" min="8" max="8"/>
    <col width="12" customWidth="1" style="13" min="9" max="9"/>
    <col width="12" customWidth="1" style="13" min="10" max="10"/>
  </cols>
  <sheetData>
    <row r="1">
      <c r="A1" s="16" t="inlineStr">
        <is>
          <t>Requirement ID</t>
        </is>
      </c>
      <c r="B1" s="16" t="inlineStr">
        <is>
          <t>Framework / Clause</t>
        </is>
      </c>
      <c r="C1" s="16" t="inlineStr">
        <is>
          <t>Requirement</t>
        </is>
      </c>
      <c r="D1" s="16" t="inlineStr">
        <is>
          <t>Owner</t>
        </is>
      </c>
      <c r="E1" s="16" t="inlineStr">
        <is>
          <t>Evidence Ref</t>
        </is>
      </c>
      <c r="F1" s="16" t="inlineStr">
        <is>
          <t>Status</t>
        </is>
      </c>
      <c r="G1" s="16" t="inlineStr">
        <is>
          <t>Due Date</t>
        </is>
      </c>
      <c r="H1" s="16" t="inlineStr">
        <is>
          <t>Last Review</t>
        </is>
      </c>
      <c r="I1" s="16" t="inlineStr">
        <is>
          <t>Next Review</t>
        </is>
      </c>
      <c r="J1" s="16" t="inlineStr">
        <is>
          <t>Risk Link</t>
        </is>
      </c>
    </row>
    <row r="2">
      <c r="A2" s="19" t="inlineStr">
        <is>
          <t>CR-001</t>
        </is>
      </c>
      <c r="B2" s="19" t="inlineStr">
        <is>
          <t>ISO 27001 5.1</t>
        </is>
      </c>
      <c r="C2" s="19" t="inlineStr">
        <is>
          <t>Leadership commitment and policy direction</t>
        </is>
      </c>
      <c r="D2" s="19" t="inlineStr">
        <is>
          <t>CISO</t>
        </is>
      </c>
      <c r="E2" s="19" t="inlineStr">
        <is>
          <t>EV-001</t>
        </is>
      </c>
      <c r="F2" s="19" t="inlineStr">
        <is>
          <t>In Progress</t>
        </is>
      </c>
      <c r="G2" s="19" t="inlineStr">
        <is>
          <t>2026-05-31</t>
        </is>
      </c>
      <c r="H2" s="19" t="inlineStr">
        <is>
          <t>2026-04-01</t>
        </is>
      </c>
      <c r="I2" s="19" t="inlineStr">
        <is>
          <t>2026-10-01</t>
        </is>
      </c>
      <c r="J2" s="19" t="inlineStr">
        <is>
          <t>R-015</t>
        </is>
      </c>
    </row>
    <row r="3">
      <c r="A3" s="19" t="inlineStr">
        <is>
          <t>CR-002</t>
        </is>
      </c>
      <c r="B3" s="19" t="inlineStr">
        <is>
          <t>ISO 27001 6.1</t>
        </is>
      </c>
      <c r="C3" s="19" t="inlineStr">
        <is>
          <t>Risk treatment and planning</t>
        </is>
      </c>
      <c r="D3" s="19" t="inlineStr">
        <is>
          <t>Compliance</t>
        </is>
      </c>
      <c r="E3" s="19" t="inlineStr">
        <is>
          <t>EV-002</t>
        </is>
      </c>
      <c r="F3" s="19" t="inlineStr">
        <is>
          <t>In Progress</t>
        </is>
      </c>
      <c r="G3" s="19" t="inlineStr">
        <is>
          <t>2026-05-15</t>
        </is>
      </c>
      <c r="H3" s="19" t="inlineStr">
        <is>
          <t>2026-04-05</t>
        </is>
      </c>
      <c r="I3" s="19" t="inlineStr">
        <is>
          <t>2026-10-05</t>
        </is>
      </c>
      <c r="J3" s="19" t="inlineStr">
        <is>
          <t>R-009</t>
        </is>
      </c>
    </row>
    <row r="4">
      <c r="A4" s="19" t="inlineStr">
        <is>
          <t>CR-003</t>
        </is>
      </c>
      <c r="B4" s="19" t="inlineStr">
        <is>
          <t>ISO 27001 7.2</t>
        </is>
      </c>
      <c r="C4" s="19" t="inlineStr">
        <is>
          <t>Competence and awareness</t>
        </is>
      </c>
      <c r="D4" s="19" t="inlineStr">
        <is>
          <t>HR Manager</t>
        </is>
      </c>
      <c r="E4" s="19" t="inlineStr">
        <is>
          <t>EV-003</t>
        </is>
      </c>
      <c r="F4" s="19" t="inlineStr">
        <is>
          <t>Planned</t>
        </is>
      </c>
      <c r="G4" s="19" t="inlineStr">
        <is>
          <t>2026-06-15</t>
        </is>
      </c>
      <c r="H4" s="19" t="inlineStr">
        <is>
          <t>2026-04-01</t>
        </is>
      </c>
      <c r="I4" s="19" t="inlineStr">
        <is>
          <t>2026-10-01</t>
        </is>
      </c>
      <c r="J4" s="19" t="inlineStr">
        <is>
          <t>R-003</t>
        </is>
      </c>
    </row>
    <row r="5">
      <c r="A5" s="19" t="inlineStr">
        <is>
          <t>CR-004</t>
        </is>
      </c>
      <c r="B5" s="19" t="inlineStr">
        <is>
          <t>ISO 27001 8.1</t>
        </is>
      </c>
      <c r="C5" s="19" t="inlineStr">
        <is>
          <t>Operational planning and control</t>
        </is>
      </c>
      <c r="D5" s="19" t="inlineStr">
        <is>
          <t>Operations</t>
        </is>
      </c>
      <c r="E5" s="19" t="inlineStr">
        <is>
          <t>EV-004</t>
        </is>
      </c>
      <c r="F5" s="19" t="inlineStr">
        <is>
          <t>In Progress</t>
        </is>
      </c>
      <c r="G5" s="19" t="inlineStr">
        <is>
          <t>2026-05-20</t>
        </is>
      </c>
      <c r="H5" s="19" t="inlineStr">
        <is>
          <t>2026-04-03</t>
        </is>
      </c>
      <c r="I5" s="19" t="inlineStr">
        <is>
          <t>2026-10-03</t>
        </is>
      </c>
      <c r="J5" s="19" t="inlineStr">
        <is>
          <t>R-006</t>
        </is>
      </c>
    </row>
    <row r="6">
      <c r="A6" s="19" t="inlineStr">
        <is>
          <t>CR-005</t>
        </is>
      </c>
      <c r="B6" s="19" t="inlineStr">
        <is>
          <t>ISO 27001 9.2</t>
        </is>
      </c>
      <c r="C6" s="19" t="inlineStr">
        <is>
          <t>Internal audit programme</t>
        </is>
      </c>
      <c r="D6" s="19" t="inlineStr">
        <is>
          <t>Audit Lead</t>
        </is>
      </c>
      <c r="E6" s="19" t="inlineStr">
        <is>
          <t>EV-005</t>
        </is>
      </c>
      <c r="F6" s="19" t="inlineStr">
        <is>
          <t>Planned</t>
        </is>
      </c>
      <c r="G6" s="19" t="inlineStr">
        <is>
          <t>2026-07-01</t>
        </is>
      </c>
      <c r="H6" s="19" t="inlineStr">
        <is>
          <t>2026-04-02</t>
        </is>
      </c>
      <c r="I6" s="19" t="inlineStr">
        <is>
          <t>2026-10-02</t>
        </is>
      </c>
      <c r="J6" s="19" t="inlineStr">
        <is>
          <t>R-011</t>
        </is>
      </c>
    </row>
    <row r="7">
      <c r="A7" s="19" t="inlineStr">
        <is>
          <t>CR-006</t>
        </is>
      </c>
      <c r="B7" s="19" t="inlineStr">
        <is>
          <t>ISO 27001 9.3</t>
        </is>
      </c>
      <c r="C7" s="19" t="inlineStr">
        <is>
          <t>Management review</t>
        </is>
      </c>
      <c r="D7" s="19" t="inlineStr">
        <is>
          <t>CISO</t>
        </is>
      </c>
      <c r="E7" s="19" t="inlineStr">
        <is>
          <t>EV-006</t>
        </is>
      </c>
      <c r="F7" s="19" t="inlineStr">
        <is>
          <t>Planned</t>
        </is>
      </c>
      <c r="G7" s="19" t="inlineStr">
        <is>
          <t>2026-07-15</t>
        </is>
      </c>
      <c r="H7" s="19" t="inlineStr">
        <is>
          <t>2026-04-02</t>
        </is>
      </c>
      <c r="I7" s="19" t="inlineStr">
        <is>
          <t>2026-10-02</t>
        </is>
      </c>
      <c r="J7" s="19" t="inlineStr">
        <is>
          <t>R-015</t>
        </is>
      </c>
    </row>
    <row r="8">
      <c r="A8" s="19" t="inlineStr">
        <is>
          <t>CR-007</t>
        </is>
      </c>
      <c r="B8" s="19" t="inlineStr">
        <is>
          <t>ISO 27001 10.1</t>
        </is>
      </c>
      <c r="C8" s="19" t="inlineStr">
        <is>
          <t>Nonconformity and corrective action</t>
        </is>
      </c>
      <c r="D8" s="19" t="inlineStr">
        <is>
          <t>Compliance</t>
        </is>
      </c>
      <c r="E8" s="19" t="inlineStr">
        <is>
          <t>EV-007</t>
        </is>
      </c>
      <c r="F8" s="19" t="inlineStr">
        <is>
          <t>In Progress</t>
        </is>
      </c>
      <c r="G8" s="19" t="inlineStr">
        <is>
          <t>2026-05-30</t>
        </is>
      </c>
      <c r="H8" s="19" t="inlineStr">
        <is>
          <t>2026-04-04</t>
        </is>
      </c>
      <c r="I8" s="19" t="inlineStr">
        <is>
          <t>2026-10-04</t>
        </is>
      </c>
      <c r="J8" s="19" t="inlineStr">
        <is>
          <t>R-011</t>
        </is>
      </c>
    </row>
  </sheetData>
  <autoFilter ref="A1:J8"/>
  <dataValidations count="1">
    <dataValidation sqref="F2:F8" showDropDown="0" showInputMessage="0" showErrorMessage="0" allowBlank="1" type="list">
      <formula1>"Planned,In Progress,Implemented,Complete,Overdue"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3" min="1" max="1"/>
    <col width="12" customWidth="1" style="13" min="2" max="2"/>
    <col width="14" customWidth="1" style="13" min="3" max="3"/>
    <col width="18" customWidth="1" style="13" min="4" max="4"/>
    <col width="24" customWidth="1" style="13" min="5" max="5"/>
    <col width="16" customWidth="1" style="13" min="6" max="6"/>
    <col width="14" customWidth="1" style="13" min="7" max="7"/>
    <col width="14" customWidth="1" style="13" min="8" max="8"/>
    <col width="12" customWidth="1" style="13" min="9" max="9"/>
  </cols>
  <sheetData>
    <row r="1">
      <c r="A1" s="16" t="inlineStr">
        <is>
          <t>Evidence ID</t>
        </is>
      </c>
      <c r="B1" s="16" t="inlineStr">
        <is>
          <t>Control ID</t>
        </is>
      </c>
      <c r="C1" s="16" t="inlineStr">
        <is>
          <t>Requirement Link</t>
        </is>
      </c>
      <c r="D1" s="16" t="inlineStr">
        <is>
          <t>Evidence Type</t>
        </is>
      </c>
      <c r="E1" s="16" t="inlineStr">
        <is>
          <t>File / Link</t>
        </is>
      </c>
      <c r="F1" s="16" t="inlineStr">
        <is>
          <t>Owner</t>
        </is>
      </c>
      <c r="G1" s="16" t="inlineStr">
        <is>
          <t>Collected Date</t>
        </is>
      </c>
      <c r="H1" s="16" t="inlineStr">
        <is>
          <t>Review Date</t>
        </is>
      </c>
      <c r="I1" s="16" t="inlineStr">
        <is>
          <t>Status</t>
        </is>
      </c>
    </row>
    <row r="2">
      <c r="A2" s="19" t="inlineStr">
        <is>
          <t>EV-001</t>
        </is>
      </c>
      <c r="B2" s="19" t="inlineStr">
        <is>
          <t>A.5.1</t>
        </is>
      </c>
      <c r="C2" s="19" t="inlineStr">
        <is>
          <t>CR-001</t>
        </is>
      </c>
      <c r="D2" s="19" t="inlineStr">
        <is>
          <t>Policy Document</t>
        </is>
      </c>
      <c r="E2" s="19" t="inlineStr">
        <is>
          <t>Policy_v2.pdf</t>
        </is>
      </c>
      <c r="F2" s="19" t="inlineStr">
        <is>
          <t>CISO</t>
        </is>
      </c>
      <c r="G2" s="19" t="inlineStr">
        <is>
          <t>2026-04-01</t>
        </is>
      </c>
      <c r="H2" s="19" t="inlineStr">
        <is>
          <t>2026-07-01</t>
        </is>
      </c>
      <c r="I2" s="19" t="inlineStr">
        <is>
          <t>Current</t>
        </is>
      </c>
    </row>
    <row r="3">
      <c r="A3" s="19" t="inlineStr">
        <is>
          <t>EV-002</t>
        </is>
      </c>
      <c r="B3" s="19" t="inlineStr">
        <is>
          <t>A.5.15</t>
        </is>
      </c>
      <c r="C3" s="19" t="inlineStr">
        <is>
          <t>CR-002</t>
        </is>
      </c>
      <c r="D3" s="19" t="inlineStr">
        <is>
          <t>Risk Treatment Plan</t>
        </is>
      </c>
      <c r="E3" s="19" t="inlineStr">
        <is>
          <t>Treatment_Tracker.xlsx</t>
        </is>
      </c>
      <c r="F3" s="19" t="inlineStr">
        <is>
          <t>Compliance</t>
        </is>
      </c>
      <c r="G3" s="19" t="inlineStr">
        <is>
          <t>2026-04-05</t>
        </is>
      </c>
      <c r="H3" s="19" t="inlineStr">
        <is>
          <t>2026-07-05</t>
        </is>
      </c>
      <c r="I3" s="19" t="inlineStr">
        <is>
          <t>Current</t>
        </is>
      </c>
    </row>
    <row r="4">
      <c r="A4" s="19" t="inlineStr">
        <is>
          <t>EV-003</t>
        </is>
      </c>
      <c r="B4" s="19" t="inlineStr">
        <is>
          <t>A.6.3</t>
        </is>
      </c>
      <c r="C4" s="19" t="inlineStr">
        <is>
          <t>CR-003</t>
        </is>
      </c>
      <c r="D4" s="19" t="inlineStr">
        <is>
          <t>Training Record</t>
        </is>
      </c>
      <c r="E4" s="19" t="inlineStr">
        <is>
          <t>Training_Log.xlsx</t>
        </is>
      </c>
      <c r="F4" s="19" t="inlineStr">
        <is>
          <t>HR Manager</t>
        </is>
      </c>
      <c r="G4" s="19" t="inlineStr">
        <is>
          <t>2026-04-02</t>
        </is>
      </c>
      <c r="H4" s="19" t="inlineStr">
        <is>
          <t>2026-07-02</t>
        </is>
      </c>
      <c r="I4" s="19" t="inlineStr">
        <is>
          <t>Current</t>
        </is>
      </c>
    </row>
    <row r="5">
      <c r="A5" s="19" t="inlineStr">
        <is>
          <t>EV-004</t>
        </is>
      </c>
      <c r="B5" s="19" t="inlineStr">
        <is>
          <t>A.8.20</t>
        </is>
      </c>
      <c r="C5" s="19" t="inlineStr">
        <is>
          <t>CR-004</t>
        </is>
      </c>
      <c r="D5" s="19" t="inlineStr">
        <is>
          <t>Firewall Review</t>
        </is>
      </c>
      <c r="E5" s="19" t="inlineStr">
        <is>
          <t>Network_Review.docx</t>
        </is>
      </c>
      <c r="F5" s="19" t="inlineStr">
        <is>
          <t>Operations</t>
        </is>
      </c>
      <c r="G5" s="19" t="inlineStr">
        <is>
          <t>2026-04-03</t>
        </is>
      </c>
      <c r="H5" s="19" t="inlineStr">
        <is>
          <t>2026-07-03</t>
        </is>
      </c>
      <c r="I5" s="19" t="inlineStr">
        <is>
          <t>Current</t>
        </is>
      </c>
    </row>
    <row r="6">
      <c r="A6" s="19" t="inlineStr">
        <is>
          <t>EV-005</t>
        </is>
      </c>
      <c r="B6" s="19" t="inlineStr">
        <is>
          <t>A.5.35</t>
        </is>
      </c>
      <c r="C6" s="19" t="inlineStr">
        <is>
          <t>CR-005</t>
        </is>
      </c>
      <c r="D6" s="19" t="inlineStr">
        <is>
          <t>Audit Plan</t>
        </is>
      </c>
      <c r="E6" s="19" t="inlineStr">
        <is>
          <t>Internal_Audit_Plan.xlsx</t>
        </is>
      </c>
      <c r="F6" s="19" t="inlineStr">
        <is>
          <t>Audit Lead</t>
        </is>
      </c>
      <c r="G6" s="19" t="inlineStr">
        <is>
          <t>2026-04-02</t>
        </is>
      </c>
      <c r="H6" s="19" t="inlineStr">
        <is>
          <t>2026-07-02</t>
        </is>
      </c>
      <c r="I6" s="19" t="inlineStr">
        <is>
          <t>Planned</t>
        </is>
      </c>
    </row>
    <row r="7">
      <c r="A7" s="19" t="inlineStr">
        <is>
          <t>EV-006</t>
        </is>
      </c>
      <c r="B7" s="19" t="inlineStr">
        <is>
          <t>A.5.36</t>
        </is>
      </c>
      <c r="C7" s="19" t="inlineStr">
        <is>
          <t>CR-006</t>
        </is>
      </c>
      <c r="D7" s="19" t="inlineStr">
        <is>
          <t>Management Review Minutes</t>
        </is>
      </c>
      <c r="E7" s="19" t="inlineStr">
        <is>
          <t>Mgmt_Review.pdf</t>
        </is>
      </c>
      <c r="F7" s="19" t="inlineStr">
        <is>
          <t>CISO</t>
        </is>
      </c>
      <c r="G7" s="19" t="inlineStr">
        <is>
          <t>2026-04-02</t>
        </is>
      </c>
      <c r="H7" s="19" t="inlineStr">
        <is>
          <t>2026-07-02</t>
        </is>
      </c>
      <c r="I7" s="19" t="inlineStr">
        <is>
          <t>Planned</t>
        </is>
      </c>
    </row>
    <row r="8">
      <c r="A8" s="19" t="inlineStr">
        <is>
          <t>EV-007</t>
        </is>
      </c>
      <c r="B8" s="19" t="inlineStr">
        <is>
          <t>A.10.1</t>
        </is>
      </c>
      <c r="C8" s="19" t="inlineStr">
        <is>
          <t>CR-007</t>
        </is>
      </c>
      <c r="D8" s="19" t="inlineStr">
        <is>
          <t>Corrective Action Log</t>
        </is>
      </c>
      <c r="E8" s="19" t="inlineStr">
        <is>
          <t>CAPA_Log.xlsx</t>
        </is>
      </c>
      <c r="F8" s="19" t="inlineStr">
        <is>
          <t>Compliance</t>
        </is>
      </c>
      <c r="G8" s="19" t="inlineStr">
        <is>
          <t>2026-04-04</t>
        </is>
      </c>
      <c r="H8" s="19" t="inlineStr">
        <is>
          <t>2026-07-04</t>
        </is>
      </c>
      <c r="I8" s="19" t="inlineStr">
        <is>
          <t>Planned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20" customWidth="1" style="12" min="2" max="2"/>
    <col width="28" customWidth="1" style="12" min="3" max="3"/>
    <col width="18" customWidth="1" style="12" min="4" max="5"/>
    <col width="18" customWidth="1" style="13" min="5" max="5"/>
    <col width="24" customWidth="1" style="12" min="6" max="6"/>
    <col width="12" customWidth="1" style="12" min="7" max="7"/>
    <col width="10" customWidth="1" style="12" min="8" max="8"/>
    <col width="12" customWidth="1" style="12" min="9" max="9"/>
    <col width="20" customWidth="1" style="12" min="10" max="10"/>
    <col width="12" customWidth="1" style="12" min="11" max="11"/>
    <col width="24" customWidth="1" style="12" min="12" max="12"/>
    <col width="16" customWidth="1" style="12" min="13" max="16"/>
    <col width="14" customWidth="1" style="13" min="14" max="14"/>
    <col width="14" customWidth="1" style="13" min="15" max="15"/>
    <col width="12" customWidth="1" style="13" min="16" max="16"/>
    <col width="12" customWidth="1" style="12" min="17" max="17"/>
  </cols>
  <sheetData>
    <row r="1" ht="28.35" customHeight="1" s="13">
      <c r="A1" s="16" t="inlineStr">
        <is>
          <t>Risk ID</t>
        </is>
      </c>
      <c r="B1" s="16" t="inlineStr">
        <is>
          <t>Risk Name</t>
        </is>
      </c>
      <c r="C1" s="16" t="inlineStr">
        <is>
          <t>Description</t>
        </is>
      </c>
      <c r="D1" s="16" t="inlineStr">
        <is>
          <t>Asset</t>
        </is>
      </c>
      <c r="E1" s="16" t="inlineStr">
        <is>
          <t>Threat</t>
        </is>
      </c>
      <c r="F1" s="16" t="inlineStr">
        <is>
          <t>Vulnerability</t>
        </is>
      </c>
      <c r="G1" s="16" t="inlineStr">
        <is>
          <t>Likelihood</t>
        </is>
      </c>
      <c r="H1" s="16" t="inlineStr">
        <is>
          <t>Impact</t>
        </is>
      </c>
      <c r="I1" s="16" t="inlineStr">
        <is>
          <t>Risk Score</t>
        </is>
      </c>
      <c r="J1" s="16" t="inlineStr">
        <is>
          <t>Current Controls</t>
        </is>
      </c>
      <c r="K1" s="16" t="inlineStr">
        <is>
          <t>Risk Level</t>
        </is>
      </c>
      <c r="L1" s="16" t="inlineStr">
        <is>
          <t>Treatment Plan</t>
        </is>
      </c>
      <c r="M1" s="16" t="inlineStr">
        <is>
          <t>Owner</t>
        </is>
      </c>
      <c r="N1" s="16" t="inlineStr">
        <is>
          <t>Target Date</t>
        </is>
      </c>
      <c r="O1" s="16" t="inlineStr">
        <is>
          <t>Status</t>
        </is>
      </c>
      <c r="P1" s="16" t="inlineStr">
        <is>
          <t>Residual Risk</t>
        </is>
      </c>
      <c r="Q1" s="16" t="inlineStr">
        <is>
          <t>% Complete</t>
        </is>
      </c>
    </row>
    <row r="2" ht="28.35" customHeight="1" s="13">
      <c r="A2" s="19" t="inlineStr">
        <is>
          <t>R-001</t>
        </is>
      </c>
      <c r="B2" s="19" t="inlineStr">
        <is>
          <t>Data Breach</t>
        </is>
      </c>
      <c r="C2" s="19" t="inlineStr">
        <is>
          <t>Unauthorized access to customer data</t>
        </is>
      </c>
      <c r="D2" s="19" t="inlineStr">
        <is>
          <t>Customer Database</t>
        </is>
      </c>
      <c r="E2" s="19" t="inlineStr">
        <is>
          <t>Hacker/Insider</t>
        </is>
      </c>
      <c r="F2" s="19" t="inlineStr">
        <is>
          <t>Weak passwords, no encryption</t>
        </is>
      </c>
      <c r="G2" s="19" t="n">
        <v>4</v>
      </c>
      <c r="H2" s="19" t="n">
        <v>5</v>
      </c>
      <c r="I2" s="19">
        <f>IF(AND(ISNUMBER(G2),ISNUMBER(H2)),G2*H2,"")</f>
        <v/>
      </c>
      <c r="J2" s="19" t="inlineStr">
        <is>
          <t>Firewall, ACLs</t>
        </is>
      </c>
      <c r="K2" s="19">
        <f>IF(I2="","",IF(I2&gt;=20,"Critical",IF(I2&gt;=12,"High",IF(I2&gt;=6,"Medium","Low"))))</f>
        <v/>
      </c>
      <c r="L2" s="19" t="inlineStr">
        <is>
          <t>Implement MFA + encryption</t>
        </is>
      </c>
      <c r="M2" s="19" t="inlineStr">
        <is>
          <t>CISO</t>
        </is>
      </c>
      <c r="N2" s="20" t="inlineStr">
        <is>
          <t>2026-06-30</t>
        </is>
      </c>
      <c r="O2" s="19" t="inlineStr">
        <is>
          <t>In Progress</t>
        </is>
      </c>
      <c r="P2" s="19" t="n">
        <v>3</v>
      </c>
      <c r="Q2" s="19" t="n">
        <v>60</v>
      </c>
    </row>
    <row r="3" ht="28.35" customHeight="1" s="13">
      <c r="A3" s="19" t="inlineStr">
        <is>
          <t>R-002</t>
        </is>
      </c>
      <c r="B3" s="19" t="inlineStr">
        <is>
          <t>Ransomware</t>
        </is>
      </c>
      <c r="C3" s="19" t="inlineStr">
        <is>
          <t>Encryption of critical systems</t>
        </is>
      </c>
      <c r="D3" s="19" t="inlineStr">
        <is>
          <t>Core Systems</t>
        </is>
      </c>
      <c r="E3" s="19" t="inlineStr">
        <is>
          <t>Cyber criminals</t>
        </is>
      </c>
      <c r="F3" s="19" t="inlineStr">
        <is>
          <t>Outdated patches</t>
        </is>
      </c>
      <c r="G3" s="19" t="n">
        <v>3</v>
      </c>
      <c r="H3" s="19" t="n">
        <v>5</v>
      </c>
      <c r="I3" s="19">
        <f>IF(AND(ISNUMBER(G3),ISNUMBER(H3)),G3*H3,"")</f>
        <v/>
      </c>
      <c r="J3" s="19" t="inlineStr">
        <is>
          <t>Antivirus, Backups</t>
        </is>
      </c>
      <c r="K3" s="19">
        <f>IF(I3="","",IF(I3&gt;=20,"Critical",IF(I3&gt;=12,"High",IF(I3&gt;=6,"Medium","Low"))))</f>
        <v/>
      </c>
      <c r="L3" s="19" t="inlineStr">
        <is>
          <t>Offline backups + patch mgmt</t>
        </is>
      </c>
      <c r="M3" s="19" t="inlineStr">
        <is>
          <t>IT Manager</t>
        </is>
      </c>
      <c r="N3" s="20" t="inlineStr">
        <is>
          <t>2026-09-30</t>
        </is>
      </c>
      <c r="O3" s="19" t="inlineStr">
        <is>
          <t>Planned</t>
        </is>
      </c>
      <c r="P3" s="19" t="n">
        <v>2</v>
      </c>
      <c r="Q3" s="19" t="n">
        <v>40</v>
      </c>
    </row>
    <row r="4" ht="15" customHeight="1" s="13">
      <c r="A4" s="19" t="inlineStr">
        <is>
          <t>R-003</t>
        </is>
      </c>
      <c r="B4" s="19" t="inlineStr">
        <is>
          <t>Phishing Attack</t>
        </is>
      </c>
      <c r="C4" s="19" t="inlineStr">
        <is>
          <t>Credential theft through email</t>
        </is>
      </c>
      <c r="D4" s="19" t="inlineStr">
        <is>
          <t>Email Platform</t>
        </is>
      </c>
      <c r="E4" s="19" t="inlineStr">
        <is>
          <t>External attacker</t>
        </is>
      </c>
      <c r="F4" s="19" t="inlineStr">
        <is>
          <t>Low user awareness</t>
        </is>
      </c>
      <c r="G4" s="19" t="n">
        <v>4</v>
      </c>
      <c r="H4" s="19" t="n">
        <v>4</v>
      </c>
      <c r="I4" s="19">
        <f>IF(AND(ISNUMBER(G4),ISNUMBER(H4)),G4*H4,"")</f>
        <v/>
      </c>
      <c r="J4" s="19" t="inlineStr">
        <is>
          <t>Spam filter</t>
        </is>
      </c>
      <c r="K4" s="19">
        <f>IF(I4="","",IF(I4&gt;=20,"Critical",IF(I4&gt;=12,"High",IF(I4&gt;=6,"Medium","Low"))))</f>
        <v/>
      </c>
      <c r="L4" s="19" t="inlineStr">
        <is>
          <t>Awareness training + MFA</t>
        </is>
      </c>
      <c r="M4" s="19" t="inlineStr">
        <is>
          <t>Security Lead</t>
        </is>
      </c>
      <c r="N4" s="20" t="inlineStr">
        <is>
          <t>2026-05-15</t>
        </is>
      </c>
      <c r="O4" s="19" t="inlineStr">
        <is>
          <t>Open</t>
        </is>
      </c>
      <c r="P4" s="19" t="n">
        <v>3</v>
      </c>
      <c r="Q4" s="19" t="n">
        <v>20</v>
      </c>
    </row>
    <row r="5" ht="15" customHeight="1" s="13">
      <c r="A5" s="19" t="inlineStr">
        <is>
          <t>R-004</t>
        </is>
      </c>
      <c r="B5" s="19" t="inlineStr">
        <is>
          <t>Cloud Misconfiguration</t>
        </is>
      </c>
      <c r="C5" s="19" t="inlineStr">
        <is>
          <t>Public exposure of storage</t>
        </is>
      </c>
      <c r="D5" s="19" t="inlineStr">
        <is>
          <t>Cloud Storage</t>
        </is>
      </c>
      <c r="E5" s="19" t="inlineStr">
        <is>
          <t>Error/attacker</t>
        </is>
      </c>
      <c r="F5" s="19" t="inlineStr">
        <is>
          <t>Misconfigured permissions</t>
        </is>
      </c>
      <c r="G5" s="19" t="n">
        <v>3</v>
      </c>
      <c r="H5" s="19" t="n">
        <v>5</v>
      </c>
      <c r="I5" s="19">
        <f>IF(AND(ISNUMBER(G5),ISNUMBER(H5)),G5*H5,"")</f>
        <v/>
      </c>
      <c r="J5" s="19" t="inlineStr">
        <is>
          <t>Baseline policies</t>
        </is>
      </c>
      <c r="K5" s="19">
        <f>IF(I5="","",IF(I5&gt;=20,"Critical",IF(I5&gt;=12,"High",IF(I5&gt;=6,"Medium","Low"))))</f>
        <v/>
      </c>
      <c r="L5" s="19" t="inlineStr">
        <is>
          <t>Config review + guardrails</t>
        </is>
      </c>
      <c r="M5" s="19" t="inlineStr">
        <is>
          <t>Cloud Admin</t>
        </is>
      </c>
      <c r="N5" s="20" t="inlineStr">
        <is>
          <t>2026-07-15</t>
        </is>
      </c>
      <c r="O5" s="19" t="inlineStr">
        <is>
          <t>Open</t>
        </is>
      </c>
      <c r="P5" s="19" t="n">
        <v>3</v>
      </c>
      <c r="Q5" s="19" t="n">
        <v>25</v>
      </c>
    </row>
    <row r="6" ht="15" customHeight="1" s="13">
      <c r="A6" s="19" t="inlineStr">
        <is>
          <t>R-005</t>
        </is>
      </c>
      <c r="B6" s="19" t="inlineStr">
        <is>
          <t>Insider Data Theft</t>
        </is>
      </c>
      <c r="C6" s="19" t="inlineStr">
        <is>
          <t>Sensitive records exported</t>
        </is>
      </c>
      <c r="D6" s="19" t="inlineStr">
        <is>
          <t>HR Data</t>
        </is>
      </c>
      <c r="E6" s="19" t="inlineStr">
        <is>
          <t>Malicious employee</t>
        </is>
      </c>
      <c r="F6" s="19" t="inlineStr">
        <is>
          <t>Excess access rights</t>
        </is>
      </c>
      <c r="G6" s="19" t="n">
        <v>2</v>
      </c>
      <c r="H6" s="19" t="n">
        <v>4</v>
      </c>
      <c r="I6" s="19">
        <f>IF(AND(ISNUMBER(G6),ISNUMBER(H6)),G6*H6,"")</f>
        <v/>
      </c>
      <c r="J6" s="19" t="inlineStr">
        <is>
          <t>Role-based access</t>
        </is>
      </c>
      <c r="K6" s="19">
        <f>IF(I6="","",IF(I6&gt;=20,"Critical",IF(I6&gt;=12,"High",IF(I6&gt;=6,"Medium","Low"))))</f>
        <v/>
      </c>
      <c r="L6" s="19" t="inlineStr">
        <is>
          <t>Access review + logs</t>
        </is>
      </c>
      <c r="M6" s="19" t="inlineStr">
        <is>
          <t>HR Manager</t>
        </is>
      </c>
      <c r="N6" s="20" t="inlineStr">
        <is>
          <t>2026-08-01</t>
        </is>
      </c>
      <c r="O6" s="19" t="inlineStr">
        <is>
          <t>Open</t>
        </is>
      </c>
      <c r="P6" s="19" t="n">
        <v>2</v>
      </c>
      <c r="Q6" s="19" t="n">
        <v>30</v>
      </c>
    </row>
    <row r="7" ht="15" customHeight="1" s="13">
      <c r="A7" s="19" t="inlineStr">
        <is>
          <t>R-006</t>
        </is>
      </c>
      <c r="B7" s="19" t="inlineStr">
        <is>
          <t>Website Outage</t>
        </is>
      </c>
      <c r="C7" s="19" t="inlineStr">
        <is>
          <t>Public service unavailable</t>
        </is>
      </c>
      <c r="D7" s="19" t="inlineStr">
        <is>
          <t>Web App</t>
        </is>
      </c>
      <c r="E7" s="19" t="inlineStr">
        <is>
          <t>System failure</t>
        </is>
      </c>
      <c r="F7" s="19" t="inlineStr">
        <is>
          <t>Single point of failure</t>
        </is>
      </c>
      <c r="G7" s="19" t="n">
        <v>2</v>
      </c>
      <c r="H7" s="19" t="n">
        <v>3</v>
      </c>
      <c r="I7" s="19">
        <f>IF(AND(ISNUMBER(G7),ISNUMBER(H7)),G7*H7,"")</f>
        <v/>
      </c>
      <c r="J7" s="19" t="inlineStr">
        <is>
          <t>Monitoring</t>
        </is>
      </c>
      <c r="K7" s="19">
        <f>IF(I7="","",IF(I7&gt;=20,"Critical",IF(I7&gt;=12,"High",IF(I7&gt;=6,"Medium","Low"))))</f>
        <v/>
      </c>
      <c r="L7" s="19" t="inlineStr">
        <is>
          <t>Failover + redundancy</t>
        </is>
      </c>
      <c r="M7" s="19" t="inlineStr">
        <is>
          <t>DevOps</t>
        </is>
      </c>
      <c r="N7" s="20" t="inlineStr">
        <is>
          <t>2026-04-30</t>
        </is>
      </c>
      <c r="O7" s="19" t="inlineStr">
        <is>
          <t>In Progress</t>
        </is>
      </c>
      <c r="P7" s="19" t="n">
        <v>2</v>
      </c>
      <c r="Q7" s="19" t="n">
        <v>50</v>
      </c>
    </row>
    <row r="8" ht="15" customHeight="1" s="13">
      <c r="A8" s="19" t="inlineStr">
        <is>
          <t>R-007</t>
        </is>
      </c>
      <c r="B8" s="19" t="inlineStr">
        <is>
          <t>Lost Laptop</t>
        </is>
      </c>
      <c r="C8" s="19" t="inlineStr">
        <is>
          <t>Endpoint compromise</t>
        </is>
      </c>
      <c r="D8" s="19" t="inlineStr">
        <is>
          <t>User Device</t>
        </is>
      </c>
      <c r="E8" s="19" t="inlineStr">
        <is>
          <t>Physical theft</t>
        </is>
      </c>
      <c r="F8" s="19" t="inlineStr">
        <is>
          <t>No full disk encryption</t>
        </is>
      </c>
      <c r="G8" s="19" t="n">
        <v>3</v>
      </c>
      <c r="H8" s="19" t="n">
        <v>3</v>
      </c>
      <c r="I8" s="19">
        <f>IF(AND(ISNUMBER(G8),ISNUMBER(H8)),G8*H8,"")</f>
        <v/>
      </c>
      <c r="J8" s="19" t="inlineStr">
        <is>
          <t>Device password</t>
        </is>
      </c>
      <c r="K8" s="19">
        <f>IF(I8="","",IF(I8&gt;=20,"Critical",IF(I8&gt;=12,"High",IF(I8&gt;=6,"Medium","Low"))))</f>
        <v/>
      </c>
      <c r="L8" s="19" t="inlineStr">
        <is>
          <t>Encrypt endpoints</t>
        </is>
      </c>
      <c r="M8" s="19" t="inlineStr">
        <is>
          <t>IT Support</t>
        </is>
      </c>
      <c r="N8" s="20" t="inlineStr">
        <is>
          <t>2026-05-20</t>
        </is>
      </c>
      <c r="O8" s="19" t="inlineStr">
        <is>
          <t>Open</t>
        </is>
      </c>
      <c r="P8" s="19" t="n">
        <v>2</v>
      </c>
      <c r="Q8" s="19" t="n">
        <v>35</v>
      </c>
    </row>
    <row r="9" ht="15" customHeight="1" s="13">
      <c r="A9" s="19" t="inlineStr">
        <is>
          <t>R-008</t>
        </is>
      </c>
      <c r="B9" s="19" t="inlineStr">
        <is>
          <t>Vendor Breach</t>
        </is>
      </c>
      <c r="C9" s="19" t="inlineStr">
        <is>
          <t>Third-party compromise</t>
        </is>
      </c>
      <c r="D9" s="19" t="inlineStr">
        <is>
          <t>Supplier Portal</t>
        </is>
      </c>
      <c r="E9" s="19" t="inlineStr">
        <is>
          <t>Supplier incident</t>
        </is>
      </c>
      <c r="F9" s="19" t="inlineStr">
        <is>
          <t>Weak contract controls</t>
        </is>
      </c>
      <c r="G9" s="19" t="n">
        <v>2</v>
      </c>
      <c r="H9" s="19" t="n">
        <v>4</v>
      </c>
      <c r="I9" s="19">
        <f>IF(AND(ISNUMBER(G9),ISNUMBER(H9)),G9*H9,"")</f>
        <v/>
      </c>
      <c r="J9" s="19" t="inlineStr">
        <is>
          <t>Vendor review</t>
        </is>
      </c>
      <c r="K9" s="19">
        <f>IF(I9="","",IF(I9&gt;=20,"Critical",IF(I9&gt;=12,"High",IF(I9&gt;=6,"Medium","Low"))))</f>
        <v/>
      </c>
      <c r="L9" s="19" t="inlineStr">
        <is>
          <t>Supplier clauses + assurance</t>
        </is>
      </c>
      <c r="M9" s="19" t="inlineStr">
        <is>
          <t>Procurement</t>
        </is>
      </c>
      <c r="N9" s="20" t="inlineStr">
        <is>
          <t>2026-10-15</t>
        </is>
      </c>
      <c r="O9" s="19" t="inlineStr">
        <is>
          <t>Planned</t>
        </is>
      </c>
      <c r="P9" s="19" t="n">
        <v>2</v>
      </c>
      <c r="Q9" s="19" t="n">
        <v>15</v>
      </c>
    </row>
    <row r="10" ht="15" customHeight="1" s="13">
      <c r="A10" s="19" t="inlineStr">
        <is>
          <t>R-009</t>
        </is>
      </c>
      <c r="B10" s="19" t="inlineStr">
        <is>
          <t>Backup Failure</t>
        </is>
      </c>
      <c r="C10" s="19" t="inlineStr">
        <is>
          <t>Unable to restore data</t>
        </is>
      </c>
      <c r="D10" s="19" t="inlineStr">
        <is>
          <t>Backup Storage</t>
        </is>
      </c>
      <c r="E10" s="19" t="inlineStr">
        <is>
          <t>Process failure</t>
        </is>
      </c>
      <c r="F10" s="19" t="inlineStr">
        <is>
          <t>Unverified backups</t>
        </is>
      </c>
      <c r="G10" s="19" t="n">
        <v>2</v>
      </c>
      <c r="H10" s="19" t="n">
        <v>5</v>
      </c>
      <c r="I10" s="19">
        <f>IF(AND(ISNUMBER(G10),ISNUMBER(H10)),G10*H10,"")</f>
        <v/>
      </c>
      <c r="J10" s="19" t="inlineStr">
        <is>
          <t>Scheduled jobs</t>
        </is>
      </c>
      <c r="K10" s="19">
        <f>IF(I10="","",IF(I10&gt;=20,"Critical",IF(I10&gt;=12,"High",IF(I10&gt;=6,"Medium","Low"))))</f>
        <v/>
      </c>
      <c r="L10" s="19" t="inlineStr">
        <is>
          <t>Restore testing monthly</t>
        </is>
      </c>
      <c r="M10" s="19" t="inlineStr">
        <is>
          <t>Infrastructure</t>
        </is>
      </c>
      <c r="N10" s="20" t="inlineStr">
        <is>
          <t>2026-06-10</t>
        </is>
      </c>
      <c r="O10" s="19" t="inlineStr">
        <is>
          <t>Open</t>
        </is>
      </c>
      <c r="P10" s="19" t="n">
        <v>2</v>
      </c>
      <c r="Q10" s="19" t="n">
        <v>25</v>
      </c>
    </row>
    <row r="11" ht="15" customHeight="1" s="13">
      <c r="A11" s="19" t="inlineStr">
        <is>
          <t>R-010</t>
        </is>
      </c>
      <c r="B11" s="19" t="inlineStr">
        <is>
          <t>Malware Infection</t>
        </is>
      </c>
      <c r="C11" s="19" t="inlineStr">
        <is>
          <t>Workstation compromise</t>
        </is>
      </c>
      <c r="D11" s="19" t="inlineStr">
        <is>
          <t>Endpoints</t>
        </is>
      </c>
      <c r="E11" s="19" t="inlineStr">
        <is>
          <t>Malware</t>
        </is>
      </c>
      <c r="F11" s="19" t="inlineStr">
        <is>
          <t>Low awareness</t>
        </is>
      </c>
      <c r="G11" s="19" t="n">
        <v>3</v>
      </c>
      <c r="H11" s="19" t="n">
        <v>4</v>
      </c>
      <c r="I11" s="19">
        <f>IF(AND(ISNUMBER(G11),ISNUMBER(H11)),G11*H11,"")</f>
        <v/>
      </c>
      <c r="J11" s="19" t="inlineStr">
        <is>
          <t>AV software</t>
        </is>
      </c>
      <c r="K11" s="19">
        <f>IF(I11="","",IF(I11&gt;=20,"Critical",IF(I11&gt;=12,"High",IF(I11&gt;=6,"Medium","Low"))))</f>
        <v/>
      </c>
      <c r="L11" s="19" t="inlineStr">
        <is>
          <t>Macro blocking + awareness</t>
        </is>
      </c>
      <c r="M11" s="19" t="inlineStr">
        <is>
          <t>IT Manager</t>
        </is>
      </c>
      <c r="N11" s="20" t="inlineStr">
        <is>
          <t>2026-05-31</t>
        </is>
      </c>
      <c r="O11" s="19" t="inlineStr">
        <is>
          <t>Open</t>
        </is>
      </c>
      <c r="P11" s="19" t="n">
        <v>3</v>
      </c>
      <c r="Q11" s="19" t="n">
        <v>30</v>
      </c>
    </row>
    <row r="12" ht="15" customHeight="1" s="13">
      <c r="A12" s="19" t="inlineStr">
        <is>
          <t>R-011</t>
        </is>
      </c>
      <c r="B12" s="19" t="inlineStr">
        <is>
          <t>Audit Non-Compliance</t>
        </is>
      </c>
      <c r="C12" s="19" t="inlineStr">
        <is>
          <t>Missing evidence during audit</t>
        </is>
      </c>
      <c r="D12" s="19" t="inlineStr">
        <is>
          <t>ISMS Records</t>
        </is>
      </c>
      <c r="E12" s="19" t="inlineStr">
        <is>
          <t>Audit failure</t>
        </is>
      </c>
      <c r="F12" s="19" t="inlineStr">
        <is>
          <t>Incomplete logs</t>
        </is>
      </c>
      <c r="G12" s="19" t="n">
        <v>2</v>
      </c>
      <c r="H12" s="19" t="n">
        <v>4</v>
      </c>
      <c r="I12" s="19">
        <f>IF(AND(ISNUMBER(G12),ISNUMBER(H12)),G12*H12,"")</f>
        <v/>
      </c>
      <c r="J12" s="19" t="inlineStr">
        <is>
          <t>Manual checks</t>
        </is>
      </c>
      <c r="K12" s="19">
        <f>IF(I12="","",IF(I12&gt;=20,"Critical",IF(I12&gt;=12,"High",IF(I12&gt;=6,"Medium","Low"))))</f>
        <v/>
      </c>
      <c r="L12" s="19" t="inlineStr">
        <is>
          <t>Evidence library + tracking</t>
        </is>
      </c>
      <c r="M12" s="19" t="inlineStr">
        <is>
          <t>Compliance</t>
        </is>
      </c>
      <c r="N12" s="20" t="inlineStr">
        <is>
          <t>2026-07-01</t>
        </is>
      </c>
      <c r="O12" s="19" t="inlineStr">
        <is>
          <t>Open</t>
        </is>
      </c>
      <c r="P12" s="19" t="n">
        <v>2</v>
      </c>
      <c r="Q12" s="19" t="n">
        <v>20</v>
      </c>
    </row>
    <row r="13" ht="15" customHeight="1" s="13">
      <c r="A13" s="19" t="inlineStr">
        <is>
          <t>R-012</t>
        </is>
      </c>
      <c r="B13" s="19" t="inlineStr">
        <is>
          <t>Network Intrusion</t>
        </is>
      </c>
      <c r="C13" s="19" t="inlineStr">
        <is>
          <t>Unauthorized network access</t>
        </is>
      </c>
      <c r="D13" s="19" t="inlineStr">
        <is>
          <t>Network</t>
        </is>
      </c>
      <c r="E13" s="19" t="inlineStr">
        <is>
          <t>Attacker</t>
        </is>
      </c>
      <c r="F13" s="19" t="inlineStr">
        <is>
          <t>Weak segmentation</t>
        </is>
      </c>
      <c r="G13" s="19" t="n">
        <v>3</v>
      </c>
      <c r="H13" s="19" t="n">
        <v>5</v>
      </c>
      <c r="I13" s="19">
        <f>IF(AND(ISNUMBER(G13),ISNUMBER(H13)),G13*H13,"")</f>
        <v/>
      </c>
      <c r="J13" s="19" t="inlineStr">
        <is>
          <t>Firewall</t>
        </is>
      </c>
      <c r="K13" s="19">
        <f>IF(I13="","",IF(I13&gt;=20,"Critical",IF(I13&gt;=12,"High",IF(I13&gt;=6,"Medium","Low"))))</f>
        <v/>
      </c>
      <c r="L13" s="19" t="inlineStr">
        <is>
          <t>Segment networks + monitor</t>
        </is>
      </c>
      <c r="M13" s="19" t="inlineStr">
        <is>
          <t>Network Lead</t>
        </is>
      </c>
      <c r="N13" s="20" t="inlineStr">
        <is>
          <t>2026-08-20</t>
        </is>
      </c>
      <c r="O13" s="19" t="inlineStr">
        <is>
          <t>Open</t>
        </is>
      </c>
      <c r="P13" s="19" t="n">
        <v>3</v>
      </c>
      <c r="Q13" s="19" t="n">
        <v>20</v>
      </c>
    </row>
    <row r="14" ht="15" customHeight="1" s="13">
      <c r="A14" s="19" t="inlineStr">
        <is>
          <t>R-013</t>
        </is>
      </c>
      <c r="B14" s="19" t="inlineStr">
        <is>
          <t>Data Loss</t>
        </is>
      </c>
      <c r="C14" s="19" t="inlineStr">
        <is>
          <t>Deletion or corruption</t>
        </is>
      </c>
      <c r="D14" s="19" t="inlineStr">
        <is>
          <t>Business Data</t>
        </is>
      </c>
      <c r="E14" s="19" t="inlineStr">
        <is>
          <t>Human error</t>
        </is>
      </c>
      <c r="F14" s="19" t="inlineStr">
        <is>
          <t>No rollback process</t>
        </is>
      </c>
      <c r="G14" s="19" t="n">
        <v>2</v>
      </c>
      <c r="H14" s="19" t="n">
        <v>5</v>
      </c>
      <c r="I14" s="19">
        <f>IF(AND(ISNUMBER(G14),ISNUMBER(H14)),G14*H14,"")</f>
        <v/>
      </c>
      <c r="J14" s="19" t="inlineStr">
        <is>
          <t>Backups</t>
        </is>
      </c>
      <c r="K14" s="19">
        <f>IF(I14="","",IF(I14&gt;=20,"Critical",IF(I14&gt;=12,"High",IF(I14&gt;=6,"Medium","Low"))))</f>
        <v/>
      </c>
      <c r="L14" s="19" t="inlineStr">
        <is>
          <t>Versioning + recovery drills</t>
        </is>
      </c>
      <c r="M14" s="19" t="inlineStr">
        <is>
          <t>Ops Manager</t>
        </is>
      </c>
      <c r="N14" s="20" t="inlineStr">
        <is>
          <t>2026-09-01</t>
        </is>
      </c>
      <c r="O14" s="19" t="inlineStr">
        <is>
          <t>Planned</t>
        </is>
      </c>
      <c r="P14" s="19" t="n">
        <v>2</v>
      </c>
      <c r="Q14" s="19" t="n">
        <v>20</v>
      </c>
    </row>
    <row r="15" ht="15" customHeight="1" s="13">
      <c r="A15" s="19" t="inlineStr">
        <is>
          <t>R-014</t>
        </is>
      </c>
      <c r="B15" s="19" t="inlineStr">
        <is>
          <t>Privilege Abuse</t>
        </is>
      </c>
      <c r="C15" s="19" t="inlineStr">
        <is>
          <t>Misuse of admin rights</t>
        </is>
      </c>
      <c r="D15" s="19" t="inlineStr">
        <is>
          <t>Admin Accounts</t>
        </is>
      </c>
      <c r="E15" s="19" t="inlineStr">
        <is>
          <t>Insider threat</t>
        </is>
      </c>
      <c r="F15" s="19" t="inlineStr">
        <is>
          <t>Shared privileges</t>
        </is>
      </c>
      <c r="G15" s="19" t="n">
        <v>2</v>
      </c>
      <c r="H15" s="19" t="n">
        <v>5</v>
      </c>
      <c r="I15" s="19">
        <f>IF(AND(ISNUMBER(G15),ISNUMBER(H15)),G15*H15,"")</f>
        <v/>
      </c>
      <c r="J15" s="19" t="inlineStr">
        <is>
          <t>Approval process</t>
        </is>
      </c>
      <c r="K15" s="19">
        <f>IF(I15="","",IF(I15&gt;=20,"Critical",IF(I15&gt;=12,"High",IF(I15&gt;=6,"Medium","Low"))))</f>
        <v/>
      </c>
      <c r="L15" s="19" t="inlineStr">
        <is>
          <t>Privileged access management</t>
        </is>
      </c>
      <c r="M15" s="19" t="inlineStr">
        <is>
          <t>Security Lead</t>
        </is>
      </c>
      <c r="N15" s="20" t="inlineStr">
        <is>
          <t>2026-07-20</t>
        </is>
      </c>
      <c r="O15" s="19" t="inlineStr">
        <is>
          <t>Open</t>
        </is>
      </c>
      <c r="P15" s="19" t="n">
        <v>2</v>
      </c>
      <c r="Q15" s="19" t="n">
        <v>15</v>
      </c>
    </row>
    <row r="16" ht="15" customHeight="1" s="13">
      <c r="A16" s="19" t="inlineStr">
        <is>
          <t>R-015</t>
        </is>
      </c>
      <c r="B16" s="19" t="inlineStr">
        <is>
          <t>Regulatory Non-Compliance</t>
        </is>
      </c>
      <c r="C16" s="19" t="inlineStr">
        <is>
          <t>Late reporting obligations</t>
        </is>
      </c>
      <c r="D16" s="19" t="inlineStr">
        <is>
          <t>Compliance Evidence</t>
        </is>
      </c>
      <c r="E16" s="19" t="inlineStr">
        <is>
          <t>Process gap</t>
        </is>
      </c>
      <c r="F16" s="19" t="inlineStr">
        <is>
          <t>No review calendar</t>
        </is>
      </c>
      <c r="G16" s="19" t="n">
        <v>2</v>
      </c>
      <c r="H16" s="19" t="n">
        <v>4</v>
      </c>
      <c r="I16" s="19">
        <f>IF(AND(ISNUMBER(G16),ISNUMBER(H16)),G16*H16,"")</f>
        <v/>
      </c>
      <c r="J16" s="19" t="inlineStr">
        <is>
          <t>Manual reminders</t>
        </is>
      </c>
      <c r="K16" s="19">
        <f>IF(I16="","",IF(I16&gt;=20,"Critical",IF(I16&gt;=12,"High",IF(I16&gt;=6,"Medium","Low"))))</f>
        <v/>
      </c>
      <c r="L16" s="19" t="inlineStr">
        <is>
          <t>Compliance calendar + owner</t>
        </is>
      </c>
      <c r="M16" s="19" t="inlineStr">
        <is>
          <t>Compliance</t>
        </is>
      </c>
      <c r="N16" s="20" t="inlineStr">
        <is>
          <t>2026-05-25</t>
        </is>
      </c>
      <c r="O16" s="19" t="inlineStr">
        <is>
          <t>In Progress</t>
        </is>
      </c>
      <c r="P16" s="19" t="n">
        <v>2</v>
      </c>
      <c r="Q16" s="19" t="n">
        <v>45</v>
      </c>
    </row>
    <row r="17" ht="15" customHeight="1" s="13"/>
    <row r="18" ht="15" customHeight="1" s="13"/>
    <row r="19" ht="15" customHeight="1" s="13"/>
    <row r="20" ht="15" customHeight="1" s="13"/>
    <row r="21" ht="15" customHeight="1" s="13"/>
    <row r="22" ht="15" customHeight="1" s="13"/>
    <row r="23" ht="15" customHeight="1" s="13"/>
    <row r="24" ht="15" customHeight="1" s="13"/>
    <row r="25" ht="15" customHeight="1" s="13"/>
    <row r="26" ht="15" customHeight="1" s="13"/>
    <row r="27" ht="15" customHeight="1" s="13"/>
    <row r="28" ht="15" customHeight="1" s="13"/>
    <row r="29" ht="15" customHeight="1" s="13"/>
    <row r="30" ht="15" customHeight="1" s="13"/>
    <row r="31" ht="15" customHeight="1" s="13"/>
    <row r="32" ht="15" customHeight="1" s="13"/>
    <row r="33" ht="15" customHeight="1" s="13"/>
    <row r="34" ht="15" customHeight="1" s="13"/>
    <row r="35" ht="15" customHeight="1" s="13"/>
    <row r="36" ht="15" customHeight="1" s="13"/>
    <row r="37" ht="15" customHeight="1" s="13"/>
    <row r="38" ht="15" customHeight="1" s="13"/>
    <row r="39" ht="15" customHeight="1" s="13"/>
    <row r="40" ht="15" customHeight="1" s="13"/>
    <row r="41" ht="15" customHeight="1" s="13"/>
    <row r="42" ht="15" customHeight="1" s="13"/>
    <row r="43" ht="15" customHeight="1" s="13"/>
    <row r="44" ht="15" customHeight="1" s="13"/>
    <row r="45" ht="15" customHeight="1" s="13"/>
    <row r="46" ht="15" customHeight="1" s="13"/>
    <row r="47" ht="15" customHeight="1" s="13"/>
    <row r="48" ht="15" customHeight="1" s="13"/>
    <row r="49" ht="15" customHeight="1" s="13"/>
    <row r="50" ht="15" customHeight="1" s="13"/>
  </sheetData>
  <autoFilter ref="A1:Q16"/>
  <conditionalFormatting sqref="K2:K1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3">
    <dataValidation sqref="G2:H16" showDropDown="0" showInputMessage="0" showErrorMessage="0" allowBlank="1" type="whole" operator="between">
      <formula1>1</formula1>
      <formula2>5</formula2>
    </dataValidation>
    <dataValidation sqref="O2:O16" showDropDown="0" showInputMessage="0" showErrorMessage="0" allowBlank="1" type="list">
      <formula1>=Lists!$C$2:$C$6</formula1>
    </dataValidation>
    <dataValidation sqref="M2:M16" showDropDown="0" showInputMessage="0" showErrorMessage="0" allowBlank="1" type="list">
      <formula1>=Lists!$D$2:$D$13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6"/>
  </cols>
  <sheetData>
    <row r="1" ht="17.35" customHeight="1" s="13">
      <c r="A1" s="21" t="inlineStr">
        <is>
          <t>Risk Assessment Matrix (5×5)</t>
        </is>
      </c>
    </row>
    <row r="3" ht="15" customHeight="1" s="13">
      <c r="B3" s="22" t="n">
        <v>1</v>
      </c>
      <c r="C3" s="22" t="n">
        <v>2</v>
      </c>
      <c r="D3" s="22" t="n">
        <v>3</v>
      </c>
      <c r="E3" s="22" t="n">
        <v>4</v>
      </c>
      <c r="F3" s="22" t="n">
        <v>5</v>
      </c>
    </row>
    <row r="4" ht="15" customHeight="1" s="13">
      <c r="A4" s="22" t="n">
        <v>1</v>
      </c>
      <c r="B4" s="23" t="n">
        <v>1</v>
      </c>
      <c r="C4" s="23" t="n">
        <v>2</v>
      </c>
      <c r="D4" s="23" t="n">
        <v>3</v>
      </c>
      <c r="E4" s="23" t="n">
        <v>4</v>
      </c>
      <c r="F4" s="23" t="n">
        <v>5</v>
      </c>
    </row>
    <row r="5" ht="15" customHeight="1" s="13">
      <c r="A5" s="22" t="n">
        <v>2</v>
      </c>
      <c r="B5" s="23" t="n">
        <v>2</v>
      </c>
      <c r="C5" s="23" t="n">
        <v>4</v>
      </c>
      <c r="D5" s="24" t="n">
        <v>6</v>
      </c>
      <c r="E5" s="24" t="n">
        <v>8</v>
      </c>
      <c r="F5" s="24" t="n">
        <v>10</v>
      </c>
    </row>
    <row r="6" ht="15" customHeight="1" s="13">
      <c r="A6" s="22" t="n">
        <v>3</v>
      </c>
      <c r="B6" s="23" t="n">
        <v>3</v>
      </c>
      <c r="C6" s="24" t="n">
        <v>6</v>
      </c>
      <c r="D6" s="24" t="n">
        <v>9</v>
      </c>
      <c r="E6" s="25" t="n">
        <v>12</v>
      </c>
      <c r="F6" s="25" t="n">
        <v>15</v>
      </c>
    </row>
    <row r="7" ht="15" customHeight="1" s="13">
      <c r="A7" s="22" t="n">
        <v>4</v>
      </c>
      <c r="B7" s="23" t="n">
        <v>4</v>
      </c>
      <c r="C7" s="24" t="n">
        <v>8</v>
      </c>
      <c r="D7" s="25" t="n">
        <v>12</v>
      </c>
      <c r="E7" s="25" t="n">
        <v>16</v>
      </c>
      <c r="F7" s="26" t="n">
        <v>20</v>
      </c>
    </row>
    <row r="8" ht="15" customHeight="1" s="13">
      <c r="A8" s="22" t="n">
        <v>5</v>
      </c>
      <c r="B8" s="23" t="n">
        <v>5</v>
      </c>
      <c r="C8" s="24" t="n">
        <v>10</v>
      </c>
      <c r="D8" s="25" t="n">
        <v>15</v>
      </c>
      <c r="E8" s="26" t="n">
        <v>20</v>
      </c>
      <c r="F8" s="26" t="n">
        <v>25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40" customWidth="1" style="12" min="2" max="2"/>
    <col width="40" customWidth="1" style="12" min="3" max="3"/>
    <col width="12" customWidth="1" style="12" min="4" max="4"/>
    <col width="18" customWidth="1" style="12" min="5" max="5"/>
    <col width="16" customWidth="1" style="12" min="6" max="7"/>
    <col width="16" customWidth="1" style="13" min="7" max="7"/>
    <col width="22" customWidth="1" style="12" min="8" max="8"/>
    <col width="14" customWidth="1" style="13" min="9" max="9"/>
    <col width="14" customWidth="1" style="13" min="10" max="10"/>
    <col width="12" customWidth="1" style="13" min="11" max="11"/>
  </cols>
  <sheetData>
    <row r="1" ht="28.35" customHeight="1" s="13">
      <c r="A1" s="16" t="inlineStr">
        <is>
          <t>Control ID</t>
        </is>
      </c>
      <c r="B1" s="16" t="inlineStr">
        <is>
          <t>Control Name</t>
        </is>
      </c>
      <c r="C1" s="16" t="inlineStr">
        <is>
          <t>Description</t>
        </is>
      </c>
      <c r="D1" s="16" t="inlineStr">
        <is>
          <t>Applicable?</t>
        </is>
      </c>
      <c r="E1" s="16" t="inlineStr">
        <is>
          <t>Implementation Status</t>
        </is>
      </c>
      <c r="F1" s="16" t="inlineStr">
        <is>
          <t>Related Risks</t>
        </is>
      </c>
      <c r="G1" s="16" t="inlineStr">
        <is>
          <t>Owner</t>
        </is>
      </c>
      <c r="H1" s="16" t="inlineStr">
        <is>
          <t>Notes</t>
        </is>
      </c>
      <c r="I1" s="16" t="inlineStr">
        <is>
          <t>Evidence Ref</t>
        </is>
      </c>
      <c r="J1" s="16" t="inlineStr">
        <is>
          <t>Test Frequency</t>
        </is>
      </c>
      <c r="K1" s="16" t="inlineStr">
        <is>
          <t>Review Date</t>
        </is>
      </c>
    </row>
    <row r="2" ht="15" customHeight="1" s="13">
      <c r="A2" s="19" t="inlineStr">
        <is>
          <t>A.5.1</t>
        </is>
      </c>
      <c r="B2" s="19" t="inlineStr">
        <is>
          <t>Policies for information security</t>
        </is>
      </c>
      <c r="C2" s="19" t="inlineStr">
        <is>
          <t>Refer to Annex A Controls for policies for information security.</t>
        </is>
      </c>
      <c r="D2" s="19" t="n"/>
      <c r="E2" s="19" t="n"/>
      <c r="F2" s="19" t="n"/>
      <c r="G2" s="19" t="n"/>
      <c r="H2" s="19" t="n"/>
      <c r="I2" s="19" t="n"/>
      <c r="J2" s="19" t="n"/>
      <c r="K2" s="19" t="n"/>
    </row>
    <row r="3" ht="15" customHeight="1" s="13">
      <c r="A3" s="19" t="inlineStr">
        <is>
          <t>A.5.10</t>
        </is>
      </c>
      <c r="B3" s="19" t="inlineStr">
        <is>
          <t>Acceptable use of information and other associated assets</t>
        </is>
      </c>
      <c r="C3" s="19" t="inlineStr">
        <is>
          <t>Refer to Annex A Controls for acceptable use of information and other associated assets.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</row>
    <row r="4" ht="15" customHeight="1" s="13">
      <c r="A4" s="19" t="inlineStr">
        <is>
          <t>A.5.11</t>
        </is>
      </c>
      <c r="B4" s="19" t="inlineStr">
        <is>
          <t>Return of assets</t>
        </is>
      </c>
      <c r="C4" s="19" t="inlineStr">
        <is>
          <t>Refer to Annex A Controls for return of assets.</t>
        </is>
      </c>
      <c r="D4" s="19" t="n"/>
      <c r="E4" s="19" t="n"/>
      <c r="F4" s="19" t="n"/>
      <c r="G4" s="19" t="n"/>
      <c r="H4" s="19" t="n"/>
      <c r="I4" s="19" t="n"/>
      <c r="J4" s="19" t="n"/>
      <c r="K4" s="19" t="n"/>
    </row>
    <row r="5" ht="15" customHeight="1" s="13">
      <c r="A5" s="19" t="inlineStr">
        <is>
          <t>A.5.12</t>
        </is>
      </c>
      <c r="B5" s="19" t="inlineStr">
        <is>
          <t>Classification of information</t>
        </is>
      </c>
      <c r="C5" s="19" t="inlineStr">
        <is>
          <t>Refer to Annex A Controls for classification of information.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</row>
    <row r="6" ht="15" customHeight="1" s="13">
      <c r="A6" s="19" t="inlineStr">
        <is>
          <t>A.5.13</t>
        </is>
      </c>
      <c r="B6" s="19" t="inlineStr">
        <is>
          <t>Labelling of information</t>
        </is>
      </c>
      <c r="C6" s="19" t="inlineStr">
        <is>
          <t>Refer to Annex A Controls for labelling of information.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</row>
    <row r="7" ht="15" customHeight="1" s="13">
      <c r="A7" s="19" t="inlineStr">
        <is>
          <t>A.5.14</t>
        </is>
      </c>
      <c r="B7" s="19" t="inlineStr">
        <is>
          <t>Information transfer</t>
        </is>
      </c>
      <c r="C7" s="19" t="inlineStr">
        <is>
          <t>Refer to Annex A Controls for information transfer.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</row>
    <row r="8" ht="15" customHeight="1" s="13">
      <c r="A8" s="19" t="inlineStr">
        <is>
          <t>A.5.15</t>
        </is>
      </c>
      <c r="B8" s="19" t="inlineStr">
        <is>
          <t>Access control</t>
        </is>
      </c>
      <c r="C8" s="19" t="inlineStr">
        <is>
          <t>Refer to Annex A Controls for access control.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</row>
    <row r="9" ht="15" customHeight="1" s="13">
      <c r="A9" s="19" t="inlineStr">
        <is>
          <t>A.5.16</t>
        </is>
      </c>
      <c r="B9" s="19" t="inlineStr">
        <is>
          <t>Identity management</t>
        </is>
      </c>
      <c r="C9" s="19" t="inlineStr">
        <is>
          <t>Refer to Annex A Controls for identity management.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</row>
    <row r="10" ht="15" customHeight="1" s="13">
      <c r="A10" s="19" t="inlineStr">
        <is>
          <t>A.5.17</t>
        </is>
      </c>
      <c r="B10" s="19" t="inlineStr">
        <is>
          <t>Authentication information</t>
        </is>
      </c>
      <c r="C10" s="19" t="inlineStr">
        <is>
          <t>Refer to Annex A Controls for authentication information.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 ht="15" customHeight="1" s="13">
      <c r="A11" s="19" t="inlineStr">
        <is>
          <t>A.5.18</t>
        </is>
      </c>
      <c r="B11" s="19" t="inlineStr">
        <is>
          <t>Access rights</t>
        </is>
      </c>
      <c r="C11" s="19" t="inlineStr">
        <is>
          <t>Refer to Annex A Controls for access rights.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15" customHeight="1" s="13">
      <c r="A12" s="19" t="inlineStr">
        <is>
          <t>A.5.19</t>
        </is>
      </c>
      <c r="B12" s="19" t="inlineStr">
        <is>
          <t>Information security in supplier relationships</t>
        </is>
      </c>
      <c r="C12" s="19" t="inlineStr">
        <is>
          <t>Refer to Annex A Controls for information security in supplier relationships.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 ht="15" customHeight="1" s="13">
      <c r="A13" s="19" t="inlineStr">
        <is>
          <t>A.5.2</t>
        </is>
      </c>
      <c r="B13" s="19" t="inlineStr">
        <is>
          <t>Information security roles and responsibilities</t>
        </is>
      </c>
      <c r="C13" s="19" t="inlineStr">
        <is>
          <t>Refer to Annex A Controls for information security roles and responsibilities.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15" customHeight="1" s="13">
      <c r="A14" s="19" t="inlineStr">
        <is>
          <t>A.5.20</t>
        </is>
      </c>
      <c r="B14" s="19" t="inlineStr">
        <is>
          <t>Addressing information security within supplier agreements</t>
        </is>
      </c>
      <c r="C14" s="19" t="inlineStr">
        <is>
          <t>Refer to Annex A Controls for addressing information security within supplier agreements.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5" ht="15" customHeight="1" s="13">
      <c r="A15" s="19" t="inlineStr">
        <is>
          <t>A.5.21</t>
        </is>
      </c>
      <c r="B15" s="19" t="inlineStr">
        <is>
          <t>Managing information security in the ICT supply chain</t>
        </is>
      </c>
      <c r="C15" s="19" t="inlineStr">
        <is>
          <t>Refer to Annex A Controls for managing information security in the ict supply chain.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 ht="15" customHeight="1" s="13">
      <c r="A16" s="19" t="inlineStr">
        <is>
          <t>A.5.22</t>
        </is>
      </c>
      <c r="B16" s="19" t="inlineStr">
        <is>
          <t>Monitoring, review and change management of supplier services</t>
        </is>
      </c>
      <c r="C16" s="19" t="inlineStr">
        <is>
          <t>Refer to Annex A Controls for monitoring, review and change management of supplier services.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</row>
    <row r="17" ht="15" customHeight="1" s="13">
      <c r="A17" s="19" t="inlineStr">
        <is>
          <t>A.5.23</t>
        </is>
      </c>
      <c r="B17" s="19" t="inlineStr">
        <is>
          <t>Information security for use of cloud services</t>
        </is>
      </c>
      <c r="C17" s="19" t="inlineStr">
        <is>
          <t>Refer to Annex A Controls for information security for use of cloud services.</t>
        </is>
      </c>
      <c r="D17" s="19" t="n"/>
      <c r="E17" s="19" t="n"/>
      <c r="F17" s="19" t="n"/>
      <c r="G17" s="19" t="n"/>
      <c r="H17" s="19" t="n"/>
      <c r="I17" s="19" t="n"/>
      <c r="J17" s="19" t="n"/>
      <c r="K17" s="19" t="n"/>
    </row>
    <row r="18" ht="15" customHeight="1" s="13">
      <c r="A18" s="19" t="inlineStr">
        <is>
          <t>A.5.24</t>
        </is>
      </c>
      <c r="B18" s="19" t="inlineStr">
        <is>
          <t>Information security incident management planning and preparation</t>
        </is>
      </c>
      <c r="C18" s="19" t="inlineStr">
        <is>
          <t>Refer to Annex A Controls for information security incident management planning and preparation.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</row>
    <row r="19" ht="15" customHeight="1" s="13">
      <c r="A19" s="19" t="inlineStr">
        <is>
          <t>A.5.25</t>
        </is>
      </c>
      <c r="B19" s="19" t="inlineStr">
        <is>
          <t>Assessment and decision on information security events</t>
        </is>
      </c>
      <c r="C19" s="19" t="inlineStr">
        <is>
          <t>Refer to Annex A Controls for assessment and decision on information security events.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15" customHeight="1" s="13">
      <c r="A20" s="19" t="inlineStr">
        <is>
          <t>A.5.26</t>
        </is>
      </c>
      <c r="B20" s="19" t="inlineStr">
        <is>
          <t>Response to information security incidents</t>
        </is>
      </c>
      <c r="C20" s="19" t="inlineStr">
        <is>
          <t>Refer to Annex A Controls for response to information security incidents.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</row>
    <row r="21" ht="15" customHeight="1" s="13">
      <c r="A21" s="19" t="inlineStr">
        <is>
          <t>A.5.27</t>
        </is>
      </c>
      <c r="B21" s="19" t="inlineStr">
        <is>
          <t>Learning from information security incidents</t>
        </is>
      </c>
      <c r="C21" s="19" t="inlineStr">
        <is>
          <t>Refer to Annex A Controls for learning from information security incidents.</t>
        </is>
      </c>
      <c r="D21" s="19" t="n"/>
      <c r="E21" s="19" t="n"/>
      <c r="F21" s="19" t="n"/>
      <c r="G21" s="19" t="n"/>
      <c r="H21" s="19" t="n"/>
      <c r="I21" s="19" t="n"/>
      <c r="J21" s="19" t="n"/>
      <c r="K21" s="19" t="n"/>
    </row>
    <row r="22" ht="15" customHeight="1" s="13">
      <c r="A22" s="19" t="inlineStr">
        <is>
          <t>A.5.28</t>
        </is>
      </c>
      <c r="B22" s="19" t="inlineStr">
        <is>
          <t>Collection of evidence</t>
        </is>
      </c>
      <c r="C22" s="19" t="inlineStr">
        <is>
          <t>Refer to Annex A Controls for collection of evidence.</t>
        </is>
      </c>
      <c r="D22" s="19" t="n"/>
      <c r="E22" s="19" t="n"/>
      <c r="F22" s="19" t="n"/>
      <c r="G22" s="19" t="n"/>
      <c r="H22" s="19" t="n"/>
      <c r="I22" s="19" t="n"/>
      <c r="J22" s="19" t="n"/>
      <c r="K22" s="19" t="n"/>
    </row>
    <row r="23" ht="15" customHeight="1" s="13">
      <c r="A23" s="19" t="inlineStr">
        <is>
          <t>A.5.29</t>
        </is>
      </c>
      <c r="B23" s="19" t="inlineStr">
        <is>
          <t>Information security during disruption</t>
        </is>
      </c>
      <c r="C23" s="19" t="inlineStr">
        <is>
          <t>Refer to Annex A Controls for information security during disruption.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</row>
    <row r="24" ht="15" customHeight="1" s="13">
      <c r="A24" s="19" t="inlineStr">
        <is>
          <t>A.5.3</t>
        </is>
      </c>
      <c r="B24" s="19" t="inlineStr">
        <is>
          <t>Segregation of duties</t>
        </is>
      </c>
      <c r="C24" s="19" t="inlineStr">
        <is>
          <t>Refer to Annex A Controls for segregation of duties.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</row>
    <row r="25" ht="15" customHeight="1" s="13">
      <c r="A25" s="19" t="inlineStr">
        <is>
          <t>A.5.30</t>
        </is>
      </c>
      <c r="B25" s="19" t="inlineStr">
        <is>
          <t>ICT readiness for business continuity</t>
        </is>
      </c>
      <c r="C25" s="19" t="inlineStr">
        <is>
          <t>Refer to Annex A Controls for ict readiness for business continuity.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</row>
    <row r="26" ht="15" customHeight="1" s="13">
      <c r="A26" s="19" t="inlineStr">
        <is>
          <t>A.5.31</t>
        </is>
      </c>
      <c r="B26" s="19" t="inlineStr">
        <is>
          <t>Legal, statutory, regulatory and contractual requirements</t>
        </is>
      </c>
      <c r="C26" s="19" t="inlineStr">
        <is>
          <t>Refer to Annex A Controls for legal, statutory, regulatory and contractual requirements.</t>
        </is>
      </c>
      <c r="D26" s="19" t="inlineStr"/>
      <c r="E26" s="19" t="inlineStr"/>
      <c r="F26" s="19" t="inlineStr"/>
      <c r="G26" s="19" t="inlineStr"/>
      <c r="H26" s="19" t="inlineStr"/>
      <c r="I26" s="19" t="n"/>
      <c r="J26" s="19" t="n"/>
      <c r="K26" s="19" t="n"/>
    </row>
    <row r="27" ht="15" customHeight="1" s="13">
      <c r="A27" s="19" t="inlineStr">
        <is>
          <t>A.5.32</t>
        </is>
      </c>
      <c r="B27" s="19" t="inlineStr">
        <is>
          <t>Intellectual property rights</t>
        </is>
      </c>
      <c r="C27" s="19" t="inlineStr">
        <is>
          <t>Refer to Annex A Controls for intellectual property rights.</t>
        </is>
      </c>
      <c r="D27" s="19" t="inlineStr"/>
      <c r="E27" s="19" t="inlineStr"/>
      <c r="F27" s="19" t="inlineStr"/>
      <c r="G27" s="19" t="inlineStr"/>
      <c r="H27" s="19" t="inlineStr"/>
      <c r="I27" s="19" t="n"/>
      <c r="J27" s="19" t="n"/>
      <c r="K27" s="19" t="n"/>
    </row>
    <row r="28" ht="15" customHeight="1" s="13">
      <c r="A28" s="19" t="inlineStr">
        <is>
          <t>A.5.33</t>
        </is>
      </c>
      <c r="B28" s="19" t="inlineStr">
        <is>
          <t>Protection of records</t>
        </is>
      </c>
      <c r="C28" s="19" t="inlineStr">
        <is>
          <t>Refer to Annex A Controls for protection of records.</t>
        </is>
      </c>
      <c r="D28" s="19" t="inlineStr"/>
      <c r="E28" s="19" t="inlineStr"/>
      <c r="F28" s="19" t="inlineStr"/>
      <c r="G28" s="19" t="inlineStr"/>
      <c r="H28" s="19" t="inlineStr"/>
      <c r="I28" s="19" t="n"/>
      <c r="J28" s="19" t="n"/>
      <c r="K28" s="19" t="n"/>
    </row>
    <row r="29" ht="15" customHeight="1" s="13">
      <c r="A29" s="19" t="inlineStr">
        <is>
          <t>A.5.34</t>
        </is>
      </c>
      <c r="B29" s="19" t="inlineStr">
        <is>
          <t>Privacy and protection of PII</t>
        </is>
      </c>
      <c r="C29" s="19" t="inlineStr">
        <is>
          <t>Refer to Annex A Controls for privacy and protection of pii.</t>
        </is>
      </c>
      <c r="D29" s="19" t="inlineStr"/>
      <c r="E29" s="19" t="inlineStr"/>
      <c r="F29" s="19" t="inlineStr"/>
      <c r="G29" s="19" t="inlineStr"/>
      <c r="H29" s="19" t="inlineStr"/>
      <c r="I29" s="19" t="n"/>
      <c r="J29" s="19" t="n"/>
      <c r="K29" s="19" t="n"/>
    </row>
    <row r="30" ht="15" customHeight="1" s="13">
      <c r="A30" s="19" t="inlineStr">
        <is>
          <t>A.5.35</t>
        </is>
      </c>
      <c r="B30" s="19" t="inlineStr">
        <is>
          <t>Independent review of information security</t>
        </is>
      </c>
      <c r="C30" s="19" t="inlineStr">
        <is>
          <t>Refer to Annex A Controls for independent review of information security.</t>
        </is>
      </c>
      <c r="D30" s="19" t="inlineStr"/>
      <c r="E30" s="19" t="inlineStr"/>
      <c r="F30" s="19" t="inlineStr"/>
      <c r="G30" s="19" t="inlineStr"/>
      <c r="H30" s="19" t="inlineStr"/>
      <c r="I30" s="19" t="n"/>
      <c r="J30" s="19" t="n"/>
      <c r="K30" s="19" t="n"/>
    </row>
    <row r="31" ht="15" customHeight="1" s="13">
      <c r="A31" s="19" t="inlineStr">
        <is>
          <t>A.5.36</t>
        </is>
      </c>
      <c r="B31" s="19" t="inlineStr">
        <is>
          <t>Compliance with policies, rules and standards for information security</t>
        </is>
      </c>
      <c r="C31" s="19" t="inlineStr">
        <is>
          <t>Refer to Annex A Controls for compliance with policies, rules and standards for information security.</t>
        </is>
      </c>
      <c r="D31" s="19" t="inlineStr"/>
      <c r="E31" s="19" t="inlineStr"/>
      <c r="F31" s="19" t="inlineStr"/>
      <c r="G31" s="19" t="inlineStr"/>
      <c r="H31" s="19" t="inlineStr"/>
      <c r="I31" s="19" t="n"/>
      <c r="J31" s="19" t="n"/>
      <c r="K31" s="19" t="n"/>
    </row>
    <row r="32" ht="15" customHeight="1" s="13">
      <c r="A32" s="19" t="inlineStr">
        <is>
          <t>A.5.37</t>
        </is>
      </c>
      <c r="B32" s="19" t="inlineStr">
        <is>
          <t>Documented operating procedures</t>
        </is>
      </c>
      <c r="C32" s="19" t="inlineStr">
        <is>
          <t>Refer to Annex A Controls for documented operating procedures.</t>
        </is>
      </c>
      <c r="D32" s="19" t="inlineStr"/>
      <c r="E32" s="19" t="inlineStr"/>
      <c r="F32" s="19" t="inlineStr"/>
      <c r="G32" s="19" t="inlineStr"/>
      <c r="H32" s="19" t="inlineStr"/>
      <c r="I32" s="19" t="n"/>
      <c r="J32" s="19" t="n"/>
      <c r="K32" s="19" t="n"/>
    </row>
    <row r="33" ht="15" customHeight="1" s="13">
      <c r="A33" s="19" t="inlineStr">
        <is>
          <t>A.5.4</t>
        </is>
      </c>
      <c r="B33" s="19" t="inlineStr">
        <is>
          <t>Management responsibilities</t>
        </is>
      </c>
      <c r="C33" s="19" t="inlineStr">
        <is>
          <t>Refer to Annex A Controls for management responsibilities.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n"/>
    </row>
    <row r="34" ht="15" customHeight="1" s="13">
      <c r="A34" s="19" t="inlineStr">
        <is>
          <t>A.5.5</t>
        </is>
      </c>
      <c r="B34" s="19" t="inlineStr">
        <is>
          <t>Contact with authorities</t>
        </is>
      </c>
      <c r="C34" s="19" t="inlineStr">
        <is>
          <t>Refer to Annex A Controls for contact with authorities.</t>
        </is>
      </c>
      <c r="D34" s="19" t="n"/>
      <c r="E34" s="19" t="n"/>
      <c r="F34" s="19" t="n"/>
      <c r="G34" s="19" t="n"/>
      <c r="H34" s="19" t="n"/>
      <c r="I34" s="19" t="n"/>
      <c r="J34" s="19" t="n"/>
      <c r="K34" s="19" t="n"/>
    </row>
    <row r="35" ht="15" customHeight="1" s="13">
      <c r="A35" s="19" t="inlineStr">
        <is>
          <t>A.5.6</t>
        </is>
      </c>
      <c r="B35" s="19" t="inlineStr">
        <is>
          <t>Contact with special interest groups</t>
        </is>
      </c>
      <c r="C35" s="19" t="inlineStr">
        <is>
          <t>Refer to Annex A Controls for contact with special interest groups.</t>
        </is>
      </c>
      <c r="D35" s="19" t="n"/>
      <c r="E35" s="19" t="n"/>
      <c r="F35" s="19" t="n"/>
      <c r="G35" s="19" t="n"/>
      <c r="H35" s="19" t="n"/>
      <c r="I35" s="19" t="n"/>
      <c r="J35" s="19" t="n"/>
      <c r="K35" s="19" t="n"/>
    </row>
    <row r="36" ht="15" customHeight="1" s="13">
      <c r="A36" s="19" t="inlineStr">
        <is>
          <t>A.5.7</t>
        </is>
      </c>
      <c r="B36" s="19" t="inlineStr">
        <is>
          <t>Threat intelligence</t>
        </is>
      </c>
      <c r="C36" s="19" t="inlineStr">
        <is>
          <t>Refer to Annex A Controls for threat intelligence.</t>
        </is>
      </c>
      <c r="D36" s="19" t="n"/>
      <c r="E36" s="19" t="n"/>
      <c r="F36" s="19" t="n"/>
      <c r="G36" s="19" t="n"/>
      <c r="H36" s="19" t="n"/>
      <c r="I36" s="19" t="n"/>
      <c r="J36" s="19" t="n"/>
      <c r="K36" s="19" t="n"/>
    </row>
    <row r="37" ht="15" customHeight="1" s="13">
      <c r="A37" s="19" t="inlineStr">
        <is>
          <t>A.5.8</t>
        </is>
      </c>
      <c r="B37" s="19" t="inlineStr">
        <is>
          <t>Information security in project management</t>
        </is>
      </c>
      <c r="C37" s="19" t="inlineStr">
        <is>
          <t>Refer to Annex A Controls for information security in project management.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</row>
    <row r="38" ht="15" customHeight="1" s="13">
      <c r="A38" s="19" t="inlineStr">
        <is>
          <t>A.5.9</t>
        </is>
      </c>
      <c r="B38" s="19" t="inlineStr">
        <is>
          <t>Inventory of information and other associated assets</t>
        </is>
      </c>
      <c r="C38" s="19" t="inlineStr">
        <is>
          <t>Refer to Annex A Controls for inventory of information and other associated assets.</t>
        </is>
      </c>
      <c r="D38" s="19" t="n"/>
      <c r="E38" s="19" t="n"/>
      <c r="F38" s="19" t="n"/>
      <c r="G38" s="19" t="n"/>
      <c r="H38" s="19" t="n"/>
      <c r="I38" s="19" t="n"/>
      <c r="J38" s="19" t="n"/>
      <c r="K38" s="19" t="n"/>
    </row>
    <row r="39" ht="15" customHeight="1" s="13">
      <c r="A39" s="19" t="inlineStr">
        <is>
          <t>A.6.1</t>
        </is>
      </c>
      <c r="B39" s="19" t="inlineStr">
        <is>
          <t>Screening</t>
        </is>
      </c>
      <c r="C39" s="19" t="inlineStr">
        <is>
          <t>Refer to Annex A Controls for screening.</t>
        </is>
      </c>
      <c r="D39" s="19" t="n"/>
      <c r="E39" s="19" t="n"/>
      <c r="F39" s="19" t="n"/>
      <c r="G39" s="19" t="n"/>
      <c r="H39" s="19" t="n"/>
      <c r="I39" s="19" t="n"/>
      <c r="J39" s="19" t="n"/>
      <c r="K39" s="19" t="n"/>
    </row>
    <row r="40" ht="15" customHeight="1" s="13">
      <c r="A40" s="19" t="inlineStr">
        <is>
          <t>A.6.2</t>
        </is>
      </c>
      <c r="B40" s="19" t="inlineStr">
        <is>
          <t>Terms and conditions of employment</t>
        </is>
      </c>
      <c r="C40" s="19" t="inlineStr">
        <is>
          <t>Refer to Annex A Controls for terms and conditions of employment.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</row>
    <row r="41" ht="15" customHeight="1" s="13">
      <c r="A41" s="19" t="inlineStr">
        <is>
          <t>A.6.3</t>
        </is>
      </c>
      <c r="B41" s="19" t="inlineStr">
        <is>
          <t>Information security awareness, education and training</t>
        </is>
      </c>
      <c r="C41" s="19" t="inlineStr">
        <is>
          <t>Refer to Annex A Controls for information security awareness, education and training.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</row>
    <row r="42" ht="15" customHeight="1" s="13">
      <c r="A42" s="19" t="inlineStr">
        <is>
          <t>A.6.4</t>
        </is>
      </c>
      <c r="B42" s="19" t="inlineStr">
        <is>
          <t>Disciplinary process</t>
        </is>
      </c>
      <c r="C42" s="19" t="inlineStr">
        <is>
          <t>Refer to Annex A Controls for disciplinary process.</t>
        </is>
      </c>
      <c r="D42" s="19" t="n"/>
      <c r="E42" s="19" t="n"/>
      <c r="F42" s="19" t="n"/>
      <c r="G42" s="19" t="n"/>
      <c r="H42" s="19" t="n"/>
      <c r="I42" s="19" t="n"/>
      <c r="J42" s="19" t="n"/>
      <c r="K42" s="19" t="n"/>
    </row>
    <row r="43" ht="15" customHeight="1" s="13">
      <c r="A43" s="19" t="inlineStr">
        <is>
          <t>A.6.5</t>
        </is>
      </c>
      <c r="B43" s="19" t="inlineStr">
        <is>
          <t>Responsibilities after termination or change of employment</t>
        </is>
      </c>
      <c r="C43" s="19" t="inlineStr">
        <is>
          <t>Refer to Annex A Controls for responsibilities after termination or change of employment.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</row>
    <row r="44" ht="15" customHeight="1" s="13">
      <c r="A44" s="19" t="inlineStr">
        <is>
          <t>A.6.6</t>
        </is>
      </c>
      <c r="B44" s="19" t="inlineStr">
        <is>
          <t>Confidentiality or non-disclosure agreements</t>
        </is>
      </c>
      <c r="C44" s="19" t="inlineStr">
        <is>
          <t>Refer to Annex A Controls for confidentiality or non-disclosure agreements.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</row>
    <row r="45" ht="15" customHeight="1" s="13">
      <c r="A45" s="19" t="inlineStr">
        <is>
          <t>A.6.7</t>
        </is>
      </c>
      <c r="B45" s="19" t="inlineStr">
        <is>
          <t>Remote working</t>
        </is>
      </c>
      <c r="C45" s="19" t="inlineStr">
        <is>
          <t>Refer to Annex A Controls for remote working.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</row>
    <row r="46" ht="15" customHeight="1" s="13">
      <c r="A46" s="19" t="inlineStr">
        <is>
          <t>A.6.8</t>
        </is>
      </c>
      <c r="B46" s="19" t="inlineStr">
        <is>
          <t>Information security event reporting</t>
        </is>
      </c>
      <c r="C46" s="19" t="inlineStr">
        <is>
          <t>Refer to Annex A Controls for information security event reporting.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</row>
    <row r="47" ht="15" customHeight="1" s="13">
      <c r="A47" s="19" t="inlineStr">
        <is>
          <t>A.7.1</t>
        </is>
      </c>
      <c r="B47" s="19" t="inlineStr">
        <is>
          <t>Physical security perimeters</t>
        </is>
      </c>
      <c r="C47" s="19" t="inlineStr">
        <is>
          <t>Refer to Annex A Controls for physical security perimeters.</t>
        </is>
      </c>
      <c r="D47" s="19" t="n"/>
      <c r="E47" s="19" t="n"/>
      <c r="F47" s="19" t="n"/>
      <c r="G47" s="19" t="n"/>
      <c r="H47" s="19" t="n"/>
      <c r="I47" s="19" t="n"/>
      <c r="J47" s="19" t="n"/>
      <c r="K47" s="19" t="n"/>
    </row>
    <row r="48" ht="15" customHeight="1" s="13">
      <c r="A48" s="19" t="inlineStr">
        <is>
          <t>A.7.10</t>
        </is>
      </c>
      <c r="B48" s="19" t="inlineStr">
        <is>
          <t>Storage media</t>
        </is>
      </c>
      <c r="C48" s="19" t="inlineStr">
        <is>
          <t>Refer to Annex A Controls for storage media.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</row>
    <row r="49" ht="15" customHeight="1" s="13">
      <c r="A49" s="19" t="inlineStr">
        <is>
          <t>A.7.11</t>
        </is>
      </c>
      <c r="B49" s="19" t="inlineStr">
        <is>
          <t>Supporting utilities</t>
        </is>
      </c>
      <c r="C49" s="19" t="inlineStr">
        <is>
          <t>Refer to Annex A Controls for supporting utilities.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</row>
    <row r="50" ht="15" customHeight="1" s="13">
      <c r="A50" s="19" t="inlineStr">
        <is>
          <t>A.7.12</t>
        </is>
      </c>
      <c r="B50" s="19" t="inlineStr">
        <is>
          <t>Cabling security</t>
        </is>
      </c>
      <c r="C50" s="19" t="inlineStr">
        <is>
          <t>Refer to Annex A Controls for cabling security.</t>
        </is>
      </c>
      <c r="D50" s="19" t="n"/>
      <c r="E50" s="19" t="n"/>
      <c r="F50" s="19" t="n"/>
      <c r="G50" s="19" t="n"/>
      <c r="H50" s="19" t="n"/>
      <c r="I50" s="19" t="n"/>
      <c r="J50" s="19" t="n"/>
      <c r="K50" s="19" t="n"/>
    </row>
    <row r="51" ht="15" customHeight="1" s="13">
      <c r="A51" s="19" t="inlineStr">
        <is>
          <t>A.7.13</t>
        </is>
      </c>
      <c r="B51" s="19" t="inlineStr">
        <is>
          <t>Equipment maintenance</t>
        </is>
      </c>
      <c r="C51" s="19" t="inlineStr">
        <is>
          <t>Refer to Annex A Controls for equipment maintenance.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</row>
    <row r="52" ht="15" customHeight="1" s="13">
      <c r="A52" s="19" t="inlineStr">
        <is>
          <t>A.7.14</t>
        </is>
      </c>
      <c r="B52" s="19" t="inlineStr">
        <is>
          <t>Secure disposal or re-use of equipment</t>
        </is>
      </c>
      <c r="C52" s="19" t="inlineStr">
        <is>
          <t>Refer to Annex A Controls for secure disposal or re-use of equipment.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</row>
    <row r="53" ht="15" customHeight="1" s="13">
      <c r="A53" s="19" t="inlineStr">
        <is>
          <t>A.7.2</t>
        </is>
      </c>
      <c r="B53" s="19" t="inlineStr">
        <is>
          <t>Physical entry</t>
        </is>
      </c>
      <c r="C53" s="19" t="inlineStr">
        <is>
          <t>Refer to Annex A Controls for physical entry.</t>
        </is>
      </c>
      <c r="D53" s="19" t="n"/>
      <c r="E53" s="19" t="n"/>
      <c r="F53" s="19" t="n"/>
      <c r="G53" s="19" t="n"/>
      <c r="H53" s="19" t="n"/>
      <c r="I53" s="19" t="n"/>
      <c r="J53" s="19" t="n"/>
      <c r="K53" s="19" t="n"/>
    </row>
    <row r="54" ht="15" customHeight="1" s="13">
      <c r="A54" s="19" t="inlineStr">
        <is>
          <t>A.7.3</t>
        </is>
      </c>
      <c r="B54" s="19" t="inlineStr">
        <is>
          <t>Securing offices, rooms and facilities</t>
        </is>
      </c>
      <c r="C54" s="19" t="inlineStr">
        <is>
          <t>Refer to Annex A Controls for securing offices, rooms and facilities.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</row>
    <row r="55" ht="15" customHeight="1" s="13">
      <c r="A55" s="19" t="inlineStr">
        <is>
          <t>A.7.4</t>
        </is>
      </c>
      <c r="B55" s="19" t="inlineStr">
        <is>
          <t>Physical security monitoring</t>
        </is>
      </c>
      <c r="C55" s="19" t="inlineStr">
        <is>
          <t>Refer to Annex A Controls for physical security monitoring.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</row>
    <row r="56" ht="15" customHeight="1" s="13">
      <c r="A56" s="19" t="inlineStr">
        <is>
          <t>A.7.5</t>
        </is>
      </c>
      <c r="B56" s="19" t="inlineStr">
        <is>
          <t>Protecting against physical and environmental threats</t>
        </is>
      </c>
      <c r="C56" s="19" t="inlineStr">
        <is>
          <t>Refer to Annex A Controls for protecting against physical and environmental threats.</t>
        </is>
      </c>
      <c r="D56" s="19" t="n"/>
      <c r="E56" s="19" t="n"/>
      <c r="F56" s="19" t="n"/>
      <c r="G56" s="19" t="n"/>
      <c r="H56" s="19" t="n"/>
      <c r="I56" s="19" t="n"/>
      <c r="J56" s="19" t="n"/>
      <c r="K56" s="19" t="n"/>
    </row>
    <row r="57" ht="15" customHeight="1" s="13">
      <c r="A57" s="19" t="inlineStr">
        <is>
          <t>A.7.6</t>
        </is>
      </c>
      <c r="B57" s="19" t="inlineStr">
        <is>
          <t>Working in secure areas</t>
        </is>
      </c>
      <c r="C57" s="19" t="inlineStr">
        <is>
          <t>Refer to Annex A Controls for working in secure areas.</t>
        </is>
      </c>
      <c r="D57" s="19" t="n"/>
      <c r="E57" s="19" t="n"/>
      <c r="F57" s="19" t="n"/>
      <c r="G57" s="19" t="n"/>
      <c r="H57" s="19" t="n"/>
      <c r="I57" s="19" t="n"/>
      <c r="J57" s="19" t="n"/>
      <c r="K57" s="19" t="n"/>
    </row>
    <row r="58" ht="15" customHeight="1" s="13">
      <c r="A58" s="19" t="inlineStr">
        <is>
          <t>A.7.7</t>
        </is>
      </c>
      <c r="B58" s="19" t="inlineStr">
        <is>
          <t>Clear desk and clear screen</t>
        </is>
      </c>
      <c r="C58" s="19" t="inlineStr">
        <is>
          <t>Refer to Annex A Controls for clear desk and clear screen.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</row>
    <row r="59" ht="15" customHeight="1" s="13">
      <c r="A59" s="19" t="inlineStr">
        <is>
          <t>A.7.8</t>
        </is>
      </c>
      <c r="B59" s="19" t="inlineStr">
        <is>
          <t>Equipment siting and protection</t>
        </is>
      </c>
      <c r="C59" s="19" t="inlineStr">
        <is>
          <t>Refer to Annex A Controls for equipment siting and protection.</t>
        </is>
      </c>
      <c r="D59" s="19" t="n"/>
      <c r="E59" s="19" t="n"/>
      <c r="F59" s="19" t="n"/>
      <c r="G59" s="19" t="n"/>
      <c r="H59" s="19" t="n"/>
      <c r="I59" s="19" t="n"/>
      <c r="J59" s="19" t="n"/>
      <c r="K59" s="19" t="n"/>
    </row>
    <row r="60" ht="15" customHeight="1" s="13">
      <c r="A60" s="19" t="inlineStr">
        <is>
          <t>A.7.9</t>
        </is>
      </c>
      <c r="B60" s="19" t="inlineStr">
        <is>
          <t>Security of assets off-premises</t>
        </is>
      </c>
      <c r="C60" s="19" t="inlineStr">
        <is>
          <t>Refer to Annex A Controls for security of assets off-premises.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</row>
    <row r="61" ht="15" customHeight="1" s="13">
      <c r="A61" s="19" t="inlineStr">
        <is>
          <t>A.8.1</t>
        </is>
      </c>
      <c r="B61" s="19" t="inlineStr">
        <is>
          <t>User endpoint devices</t>
        </is>
      </c>
      <c r="C61" s="19" t="inlineStr">
        <is>
          <t>Refer to Annex A Controls for user endpoint devices.</t>
        </is>
      </c>
      <c r="D61" s="19" t="n"/>
      <c r="E61" s="19" t="n"/>
      <c r="F61" s="19" t="n"/>
      <c r="G61" s="19" t="n"/>
      <c r="H61" s="19" t="n"/>
      <c r="I61" s="19" t="n"/>
      <c r="J61" s="19" t="n"/>
      <c r="K61" s="19" t="n"/>
    </row>
    <row r="62" ht="15" customHeight="1" s="13">
      <c r="A62" s="19" t="inlineStr">
        <is>
          <t>A.8.10</t>
        </is>
      </c>
      <c r="B62" s="19" t="inlineStr">
        <is>
          <t>Information deletion</t>
        </is>
      </c>
      <c r="C62" s="19" t="inlineStr">
        <is>
          <t>Refer to Annex A Controls for information deletion.</t>
        </is>
      </c>
      <c r="D62" s="19" t="n"/>
      <c r="E62" s="19" t="n"/>
      <c r="F62" s="19" t="n"/>
      <c r="G62" s="19" t="n"/>
      <c r="H62" s="19" t="n"/>
      <c r="I62" s="19" t="n"/>
      <c r="J62" s="19" t="n"/>
      <c r="K62" s="19" t="n"/>
    </row>
    <row r="63" ht="15" customHeight="1" s="13">
      <c r="A63" s="19" t="inlineStr">
        <is>
          <t>A.8.11</t>
        </is>
      </c>
      <c r="B63" s="19" t="inlineStr">
        <is>
          <t>Data masking</t>
        </is>
      </c>
      <c r="C63" s="19" t="inlineStr">
        <is>
          <t>Refer to Annex A Controls for data masking.</t>
        </is>
      </c>
      <c r="D63" s="19" t="n"/>
      <c r="E63" s="19" t="n"/>
      <c r="F63" s="19" t="n"/>
      <c r="G63" s="19" t="n"/>
      <c r="H63" s="19" t="n"/>
      <c r="I63" s="19" t="n"/>
      <c r="J63" s="19" t="n"/>
      <c r="K63" s="19" t="n"/>
    </row>
    <row r="64" ht="15" customHeight="1" s="13">
      <c r="A64" s="19" t="inlineStr">
        <is>
          <t>A.8.12</t>
        </is>
      </c>
      <c r="B64" s="19" t="inlineStr">
        <is>
          <t>Data leakage prevention</t>
        </is>
      </c>
      <c r="C64" s="19" t="inlineStr">
        <is>
          <t>Refer to Annex A Controls for data leakage prevention.</t>
        </is>
      </c>
      <c r="D64" s="19" t="n"/>
      <c r="E64" s="19" t="n"/>
      <c r="F64" s="19" t="n"/>
      <c r="G64" s="19" t="n"/>
      <c r="H64" s="19" t="n"/>
      <c r="I64" s="19" t="n"/>
      <c r="J64" s="19" t="n"/>
      <c r="K64" s="19" t="n"/>
    </row>
    <row r="65" ht="15" customHeight="1" s="13">
      <c r="A65" s="19" t="inlineStr">
        <is>
          <t>A.8.13</t>
        </is>
      </c>
      <c r="B65" s="19" t="inlineStr">
        <is>
          <t>Information backup</t>
        </is>
      </c>
      <c r="C65" s="19" t="inlineStr">
        <is>
          <t>Refer to Annex A Controls for information backup.</t>
        </is>
      </c>
      <c r="D65" s="19" t="n"/>
      <c r="E65" s="19" t="n"/>
      <c r="F65" s="19" t="n"/>
      <c r="G65" s="19" t="n"/>
      <c r="H65" s="19" t="n"/>
      <c r="I65" s="19" t="n"/>
      <c r="J65" s="19" t="n"/>
      <c r="K65" s="19" t="n"/>
    </row>
    <row r="66" ht="15" customHeight="1" s="13">
      <c r="A66" s="19" t="inlineStr">
        <is>
          <t>A.8.14</t>
        </is>
      </c>
      <c r="B66" s="19" t="inlineStr">
        <is>
          <t>Redundancy of information processing facilities</t>
        </is>
      </c>
      <c r="C66" s="19" t="inlineStr">
        <is>
          <t>Refer to Annex A Controls for redundancy of information processing facilities.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</row>
    <row r="67" ht="15" customHeight="1" s="13">
      <c r="A67" s="19" t="inlineStr">
        <is>
          <t>A.8.15</t>
        </is>
      </c>
      <c r="B67" s="19" t="inlineStr">
        <is>
          <t>Logging</t>
        </is>
      </c>
      <c r="C67" s="19" t="inlineStr">
        <is>
          <t>Refer to Annex A Controls for logging.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</row>
    <row r="68" ht="15" customHeight="1" s="13">
      <c r="A68" s="19" t="inlineStr">
        <is>
          <t>A.8.16</t>
        </is>
      </c>
      <c r="B68" s="19" t="inlineStr">
        <is>
          <t>Monitoring activities</t>
        </is>
      </c>
      <c r="C68" s="19" t="inlineStr">
        <is>
          <t>Refer to Annex A Controls for monitoring activities.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</row>
    <row r="69" ht="15" customHeight="1" s="13">
      <c r="A69" s="19" t="inlineStr">
        <is>
          <t>A.8.17</t>
        </is>
      </c>
      <c r="B69" s="19" t="inlineStr">
        <is>
          <t>Clock synchronization</t>
        </is>
      </c>
      <c r="C69" s="19" t="inlineStr">
        <is>
          <t>Refer to Annex A Controls for clock synchronization.</t>
        </is>
      </c>
      <c r="D69" s="19" t="n"/>
      <c r="E69" s="19" t="n"/>
      <c r="F69" s="19" t="n"/>
      <c r="G69" s="19" t="n"/>
      <c r="H69" s="19" t="n"/>
      <c r="I69" s="19" t="n"/>
      <c r="J69" s="19" t="n"/>
      <c r="K69" s="19" t="n"/>
    </row>
    <row r="70" ht="15" customHeight="1" s="13">
      <c r="A70" s="19" t="inlineStr">
        <is>
          <t>A.8.18</t>
        </is>
      </c>
      <c r="B70" s="19" t="inlineStr">
        <is>
          <t>Use of privileged utility programs</t>
        </is>
      </c>
      <c r="C70" s="19" t="inlineStr">
        <is>
          <t>Refer to Annex A Controls for use of privileged utility programs.</t>
        </is>
      </c>
      <c r="D70" s="19" t="n"/>
      <c r="E70" s="19" t="n"/>
      <c r="F70" s="19" t="n"/>
      <c r="G70" s="19" t="n"/>
      <c r="H70" s="19" t="n"/>
      <c r="I70" s="19" t="n"/>
      <c r="J70" s="19" t="n"/>
      <c r="K70" s="19" t="n"/>
    </row>
    <row r="71" ht="15" customHeight="1" s="13">
      <c r="A71" s="19" t="inlineStr">
        <is>
          <t>A.8.19</t>
        </is>
      </c>
      <c r="B71" s="19" t="inlineStr">
        <is>
          <t>Installation of software on operational systems</t>
        </is>
      </c>
      <c r="C71" s="19" t="inlineStr">
        <is>
          <t>Refer to Annex A Controls for installation of software on operational systems.</t>
        </is>
      </c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72" ht="15" customHeight="1" s="13">
      <c r="A72" s="19" t="inlineStr">
        <is>
          <t>A.8.2</t>
        </is>
      </c>
      <c r="B72" s="19" t="inlineStr">
        <is>
          <t>Privileged access rights</t>
        </is>
      </c>
      <c r="C72" s="19" t="inlineStr">
        <is>
          <t>Refer to Annex A Controls for privileged access rights.</t>
        </is>
      </c>
      <c r="D72" s="19" t="n"/>
      <c r="E72" s="19" t="n"/>
      <c r="F72" s="19" t="n"/>
      <c r="G72" s="19" t="n"/>
      <c r="H72" s="19" t="n"/>
      <c r="I72" s="19" t="n"/>
      <c r="J72" s="19" t="n"/>
      <c r="K72" s="19" t="n"/>
    </row>
    <row r="73" ht="15" customHeight="1" s="13">
      <c r="A73" s="19" t="inlineStr">
        <is>
          <t>A.8.20</t>
        </is>
      </c>
      <c r="B73" s="19" t="inlineStr">
        <is>
          <t>Networks security</t>
        </is>
      </c>
      <c r="C73" s="19" t="inlineStr">
        <is>
          <t>Refer to Annex A Controls for networks security.</t>
        </is>
      </c>
      <c r="D73" s="19" t="n"/>
      <c r="E73" s="19" t="n"/>
      <c r="F73" s="19" t="n"/>
      <c r="G73" s="19" t="n"/>
      <c r="H73" s="19" t="n"/>
      <c r="I73" s="19" t="n"/>
      <c r="J73" s="19" t="n"/>
      <c r="K73" s="19" t="n"/>
    </row>
    <row r="74" ht="15" customHeight="1" s="13">
      <c r="A74" s="19" t="inlineStr">
        <is>
          <t>A.8.21</t>
        </is>
      </c>
      <c r="B74" s="19" t="inlineStr">
        <is>
          <t>Security of network services</t>
        </is>
      </c>
      <c r="C74" s="19" t="inlineStr">
        <is>
          <t>Refer to Annex A Controls for security of network services.</t>
        </is>
      </c>
      <c r="D74" s="19" t="n"/>
      <c r="E74" s="19" t="n"/>
      <c r="F74" s="19" t="n"/>
      <c r="G74" s="19" t="n"/>
      <c r="H74" s="19" t="n"/>
      <c r="I74" s="19" t="n"/>
      <c r="J74" s="19" t="n"/>
      <c r="K74" s="19" t="n"/>
    </row>
    <row r="75" ht="15" customHeight="1" s="13">
      <c r="A75" s="19" t="inlineStr">
        <is>
          <t>A.8.22</t>
        </is>
      </c>
      <c r="B75" s="19" t="inlineStr">
        <is>
          <t>Segregation of networks</t>
        </is>
      </c>
      <c r="C75" s="19" t="inlineStr">
        <is>
          <t>Refer to Annex A Controls for segregation of networks.</t>
        </is>
      </c>
      <c r="D75" s="19" t="n"/>
      <c r="E75" s="19" t="n"/>
      <c r="F75" s="19" t="n"/>
      <c r="G75" s="19" t="n"/>
      <c r="H75" s="19" t="n"/>
      <c r="I75" s="19" t="n"/>
      <c r="J75" s="19" t="n"/>
      <c r="K75" s="19" t="n"/>
    </row>
    <row r="76" ht="15" customHeight="1" s="13">
      <c r="A76" s="19" t="inlineStr">
        <is>
          <t>A.8.23</t>
        </is>
      </c>
      <c r="B76" s="19" t="inlineStr">
        <is>
          <t>Web filtering</t>
        </is>
      </c>
      <c r="C76" s="19" t="inlineStr">
        <is>
          <t>Refer to Annex A Controls for web filtering.</t>
        </is>
      </c>
      <c r="D76" s="19" t="n"/>
      <c r="E76" s="19" t="n"/>
      <c r="F76" s="19" t="n"/>
      <c r="G76" s="19" t="n"/>
      <c r="H76" s="19" t="n"/>
      <c r="I76" s="19" t="n"/>
      <c r="J76" s="19" t="n"/>
      <c r="K76" s="19" t="n"/>
    </row>
    <row r="77" ht="15" customHeight="1" s="13">
      <c r="A77" s="19" t="inlineStr">
        <is>
          <t>A.8.24</t>
        </is>
      </c>
      <c r="B77" s="19" t="inlineStr">
        <is>
          <t>Use of cryptography</t>
        </is>
      </c>
      <c r="C77" s="19" t="inlineStr">
        <is>
          <t>Refer to Annex A Controls for use of cryptography.</t>
        </is>
      </c>
      <c r="D77" s="19" t="n"/>
      <c r="E77" s="19" t="n"/>
      <c r="F77" s="19" t="n"/>
      <c r="G77" s="19" t="n"/>
      <c r="H77" s="19" t="n"/>
      <c r="I77" s="19" t="n"/>
      <c r="J77" s="19" t="n"/>
      <c r="K77" s="19" t="n"/>
    </row>
    <row r="78" ht="15" customHeight="1" s="13">
      <c r="A78" s="19" t="inlineStr">
        <is>
          <t>A.8.25</t>
        </is>
      </c>
      <c r="B78" s="19" t="inlineStr">
        <is>
          <t>Secure development life cycle</t>
        </is>
      </c>
      <c r="C78" s="19" t="inlineStr">
        <is>
          <t>Refer to Annex A Controls for secure development life cycle.</t>
        </is>
      </c>
      <c r="D78" s="19" t="n"/>
      <c r="E78" s="19" t="n"/>
      <c r="F78" s="19" t="n"/>
      <c r="G78" s="19" t="n"/>
      <c r="H78" s="19" t="n"/>
      <c r="I78" s="19" t="n"/>
      <c r="J78" s="19" t="n"/>
      <c r="K78" s="19" t="n"/>
    </row>
    <row r="79" ht="15" customHeight="1" s="13">
      <c r="A79" s="19" t="inlineStr">
        <is>
          <t>A.8.26</t>
        </is>
      </c>
      <c r="B79" s="19" t="inlineStr">
        <is>
          <t>Application security requirements</t>
        </is>
      </c>
      <c r="C79" s="19" t="inlineStr">
        <is>
          <t>Refer to Annex A Controls for application security requirements.</t>
        </is>
      </c>
      <c r="D79" s="19" t="n"/>
      <c r="E79" s="19" t="n"/>
      <c r="F79" s="19" t="n"/>
      <c r="G79" s="19" t="n"/>
      <c r="H79" s="19" t="n"/>
      <c r="I79" s="19" t="n"/>
      <c r="J79" s="19" t="n"/>
      <c r="K79" s="19" t="n"/>
    </row>
    <row r="80" ht="15" customHeight="1" s="13">
      <c r="A80" s="19" t="inlineStr">
        <is>
          <t>A.8.27</t>
        </is>
      </c>
      <c r="B80" s="19" t="inlineStr">
        <is>
          <t>Secure system architecture and engineering principles</t>
        </is>
      </c>
      <c r="C80" s="19" t="inlineStr">
        <is>
          <t>Refer to Annex A Controls for secure system architecture and engineering principles.</t>
        </is>
      </c>
      <c r="D80" s="19" t="n"/>
      <c r="E80" s="19" t="n"/>
      <c r="F80" s="19" t="n"/>
      <c r="G80" s="19" t="n"/>
      <c r="H80" s="19" t="n"/>
      <c r="I80" s="19" t="n"/>
      <c r="J80" s="19" t="n"/>
      <c r="K80" s="19" t="n"/>
    </row>
    <row r="81" ht="15" customHeight="1" s="13">
      <c r="A81" s="19" t="inlineStr">
        <is>
          <t>A.8.28</t>
        </is>
      </c>
      <c r="B81" s="19" t="inlineStr">
        <is>
          <t>Secure coding</t>
        </is>
      </c>
      <c r="C81" s="19" t="inlineStr">
        <is>
          <t>Refer to Annex A Controls for secure coding.</t>
        </is>
      </c>
      <c r="D81" s="19" t="n"/>
      <c r="E81" s="19" t="n"/>
      <c r="F81" s="19" t="n"/>
      <c r="G81" s="19" t="n"/>
      <c r="H81" s="19" t="n"/>
      <c r="I81" s="19" t="n"/>
      <c r="J81" s="19" t="n"/>
      <c r="K81" s="19" t="n"/>
    </row>
    <row r="82" ht="15" customHeight="1" s="13">
      <c r="A82" s="19" t="inlineStr">
        <is>
          <t>A.8.29</t>
        </is>
      </c>
      <c r="B82" s="19" t="inlineStr">
        <is>
          <t>Security testing in development and acceptance</t>
        </is>
      </c>
      <c r="C82" s="19" t="inlineStr">
        <is>
          <t>Refer to Annex A Controls for security testing in development and acceptance.</t>
        </is>
      </c>
      <c r="D82" s="19" t="n"/>
      <c r="E82" s="19" t="n"/>
      <c r="F82" s="19" t="n"/>
      <c r="G82" s="19" t="n"/>
      <c r="H82" s="19" t="n"/>
      <c r="I82" s="19" t="n"/>
      <c r="J82" s="19" t="n"/>
      <c r="K82" s="19" t="n"/>
    </row>
    <row r="83" ht="15" customHeight="1" s="13">
      <c r="A83" s="19" t="inlineStr">
        <is>
          <t>A.8.3</t>
        </is>
      </c>
      <c r="B83" s="19" t="inlineStr">
        <is>
          <t>Information access restriction</t>
        </is>
      </c>
      <c r="C83" s="19" t="inlineStr">
        <is>
          <t>Refer to Annex A Controls for information access restriction.</t>
        </is>
      </c>
      <c r="D83" s="19" t="n"/>
      <c r="E83" s="19" t="n"/>
      <c r="F83" s="19" t="n"/>
      <c r="G83" s="19" t="n"/>
      <c r="H83" s="19" t="n"/>
      <c r="I83" s="19" t="n"/>
      <c r="J83" s="19" t="n"/>
      <c r="K83" s="19" t="n"/>
    </row>
    <row r="84" ht="15" customHeight="1" s="13">
      <c r="A84" s="19" t="inlineStr">
        <is>
          <t>A.8.30</t>
        </is>
      </c>
      <c r="B84" s="19" t="inlineStr">
        <is>
          <t>Outsourced development</t>
        </is>
      </c>
      <c r="C84" s="19" t="inlineStr">
        <is>
          <t>Refer to Annex A Controls for outsourced development.</t>
        </is>
      </c>
      <c r="D84" s="19" t="n"/>
      <c r="E84" s="19" t="n"/>
      <c r="F84" s="19" t="n"/>
      <c r="G84" s="19" t="n"/>
      <c r="H84" s="19" t="n"/>
      <c r="I84" s="19" t="n"/>
      <c r="J84" s="19" t="n"/>
      <c r="K84" s="19" t="n"/>
    </row>
    <row r="85" ht="15" customHeight="1" s="13">
      <c r="A85" s="19" t="inlineStr">
        <is>
          <t>A.8.31</t>
        </is>
      </c>
      <c r="B85" s="19" t="inlineStr">
        <is>
          <t>Separation of development, test and production environments</t>
        </is>
      </c>
      <c r="C85" s="19" t="inlineStr">
        <is>
          <t>Refer to Annex A Controls for separation of development, test and production environments.</t>
        </is>
      </c>
      <c r="D85" s="19" t="n"/>
      <c r="E85" s="19" t="n"/>
      <c r="F85" s="19" t="n"/>
      <c r="G85" s="19" t="n"/>
      <c r="H85" s="19" t="n"/>
      <c r="I85" s="19" t="n"/>
      <c r="J85" s="19" t="n"/>
      <c r="K85" s="19" t="n"/>
    </row>
    <row r="86" ht="15" customHeight="1" s="13">
      <c r="A86" s="19" t="inlineStr">
        <is>
          <t>A.8.32</t>
        </is>
      </c>
      <c r="B86" s="19" t="inlineStr">
        <is>
          <t>Change management</t>
        </is>
      </c>
      <c r="C86" s="19" t="inlineStr">
        <is>
          <t>Refer to Annex A Controls for change management.</t>
        </is>
      </c>
      <c r="D86" s="19" t="n"/>
      <c r="E86" s="19" t="n"/>
      <c r="F86" s="19" t="n"/>
      <c r="G86" s="19" t="n"/>
      <c r="H86" s="19" t="n"/>
      <c r="I86" s="19" t="n"/>
      <c r="J86" s="19" t="n"/>
      <c r="K86" s="19" t="n"/>
    </row>
    <row r="87" ht="15" customHeight="1" s="13">
      <c r="A87" s="19" t="inlineStr">
        <is>
          <t>A.8.33</t>
        </is>
      </c>
      <c r="B87" s="19" t="inlineStr">
        <is>
          <t>Test information</t>
        </is>
      </c>
      <c r="C87" s="19" t="inlineStr">
        <is>
          <t>Refer to Annex A Controls for test information.</t>
        </is>
      </c>
      <c r="D87" s="19" t="n"/>
      <c r="E87" s="19" t="n"/>
      <c r="F87" s="19" t="n"/>
      <c r="G87" s="19" t="n"/>
      <c r="H87" s="19" t="n"/>
      <c r="I87" s="19" t="n"/>
      <c r="J87" s="19" t="n"/>
      <c r="K87" s="19" t="n"/>
    </row>
    <row r="88" ht="15" customHeight="1" s="13">
      <c r="A88" s="19" t="inlineStr">
        <is>
          <t>A.8.34</t>
        </is>
      </c>
      <c r="B88" s="19" t="inlineStr">
        <is>
          <t>Protection of information systems during audit testing</t>
        </is>
      </c>
      <c r="C88" s="19" t="inlineStr">
        <is>
          <t>Refer to Annex A Controls for protection of information systems during audit testing.</t>
        </is>
      </c>
      <c r="D88" s="19" t="n"/>
      <c r="E88" s="19" t="n"/>
      <c r="F88" s="19" t="n"/>
      <c r="G88" s="19" t="n"/>
      <c r="H88" s="19" t="n"/>
      <c r="I88" s="19" t="n"/>
      <c r="J88" s="19" t="n"/>
      <c r="K88" s="19" t="n"/>
    </row>
    <row r="89" ht="15" customHeight="1" s="13">
      <c r="A89" s="19" t="inlineStr">
        <is>
          <t>A.8.4</t>
        </is>
      </c>
      <c r="B89" s="19" t="inlineStr">
        <is>
          <t>Access to source code</t>
        </is>
      </c>
      <c r="C89" s="19" t="inlineStr">
        <is>
          <t>Refer to Annex A Controls for access to source code.</t>
        </is>
      </c>
      <c r="D89" s="19" t="n"/>
      <c r="E89" s="19" t="n"/>
      <c r="F89" s="19" t="n"/>
      <c r="G89" s="19" t="n"/>
      <c r="H89" s="19" t="n"/>
      <c r="I89" s="19" t="n"/>
      <c r="J89" s="19" t="n"/>
      <c r="K89" s="19" t="n"/>
    </row>
    <row r="90" ht="15" customHeight="1" s="13">
      <c r="A90" s="19" t="inlineStr">
        <is>
          <t>A.8.5</t>
        </is>
      </c>
      <c r="B90" s="19" t="inlineStr">
        <is>
          <t>Secure authentication</t>
        </is>
      </c>
      <c r="C90" s="19" t="inlineStr">
        <is>
          <t>Refer to Annex A Controls for secure authentication.</t>
        </is>
      </c>
      <c r="D90" s="19" t="n"/>
      <c r="E90" s="19" t="n"/>
      <c r="F90" s="19" t="n"/>
      <c r="G90" s="19" t="n"/>
      <c r="H90" s="19" t="n"/>
      <c r="I90" s="19" t="n"/>
      <c r="J90" s="19" t="n"/>
      <c r="K90" s="19" t="n"/>
    </row>
    <row r="91" ht="15" customHeight="1" s="13">
      <c r="A91" s="19" t="inlineStr">
        <is>
          <t>A.8.6</t>
        </is>
      </c>
      <c r="B91" s="19" t="inlineStr">
        <is>
          <t>Capacity management</t>
        </is>
      </c>
      <c r="C91" s="19" t="inlineStr">
        <is>
          <t>Refer to Annex A Controls for capacity management.</t>
        </is>
      </c>
      <c r="D91" s="19" t="n"/>
      <c r="E91" s="19" t="n"/>
      <c r="F91" s="19" t="n"/>
      <c r="G91" s="19" t="n"/>
      <c r="H91" s="19" t="n"/>
      <c r="I91" s="19" t="n"/>
      <c r="J91" s="19" t="n"/>
      <c r="K91" s="19" t="n"/>
    </row>
    <row r="92" ht="15" customHeight="1" s="13">
      <c r="A92" s="19" t="inlineStr">
        <is>
          <t>A.8.7</t>
        </is>
      </c>
      <c r="B92" s="19" t="inlineStr">
        <is>
          <t>Protection against malware</t>
        </is>
      </c>
      <c r="C92" s="19" t="inlineStr">
        <is>
          <t>Refer to Annex A Controls for protection against malware.</t>
        </is>
      </c>
      <c r="D92" s="19" t="n"/>
      <c r="E92" s="19" t="n"/>
      <c r="F92" s="19" t="n"/>
      <c r="G92" s="19" t="n"/>
      <c r="H92" s="19" t="n"/>
      <c r="I92" s="19" t="n"/>
      <c r="J92" s="19" t="n"/>
      <c r="K92" s="19" t="n"/>
    </row>
    <row r="93" ht="15" customHeight="1" s="13">
      <c r="A93" s="19" t="inlineStr">
        <is>
          <t>A.8.8</t>
        </is>
      </c>
      <c r="B93" s="19" t="inlineStr">
        <is>
          <t>Management of technical vulnerabilities</t>
        </is>
      </c>
      <c r="C93" s="19" t="inlineStr">
        <is>
          <t>Refer to Annex A Controls for management of technical vulnerabilities.</t>
        </is>
      </c>
      <c r="D93" s="19" t="n"/>
      <c r="E93" s="19" t="n"/>
      <c r="F93" s="19" t="n"/>
      <c r="G93" s="19" t="n"/>
      <c r="H93" s="19" t="n"/>
      <c r="I93" s="19" t="n"/>
      <c r="J93" s="19" t="n"/>
      <c r="K93" s="19" t="n"/>
    </row>
    <row r="94" ht="15" customHeight="1" s="13">
      <c r="A94" s="19" t="inlineStr">
        <is>
          <t>A.8.9</t>
        </is>
      </c>
      <c r="B94" s="19" t="inlineStr">
        <is>
          <t>Configuration management</t>
        </is>
      </c>
      <c r="C94" s="19" t="inlineStr">
        <is>
          <t>Refer to Annex A Controls for configuration management.</t>
        </is>
      </c>
      <c r="D94" s="19" t="n"/>
      <c r="E94" s="19" t="n"/>
      <c r="F94" s="19" t="n"/>
      <c r="G94" s="19" t="n"/>
      <c r="H94" s="19" t="n"/>
      <c r="I94" s="19" t="n"/>
      <c r="J94" s="19" t="n"/>
      <c r="K94" s="19" t="n"/>
    </row>
    <row r="95" ht="15" customHeight="1" s="13"/>
    <row r="96" ht="15" customHeight="1" s="13"/>
    <row r="97" ht="15" customHeight="1" s="13"/>
    <row r="98" ht="15" customHeight="1" s="13"/>
    <row r="99" ht="15" customHeight="1" s="13"/>
    <row r="100" ht="15" customHeight="1" s="13"/>
    <row r="101" ht="15" customHeight="1" s="13"/>
    <row r="102" ht="15" customHeight="1" s="13"/>
    <row r="103" ht="15" customHeight="1" s="13"/>
    <row r="104" ht="15" customHeight="1" s="13"/>
    <row r="105" ht="15" customHeight="1" s="13"/>
    <row r="106" ht="15" customHeight="1" s="13"/>
    <row r="107" ht="15" customHeight="1" s="13"/>
    <row r="108" ht="15" customHeight="1" s="13"/>
    <row r="109" ht="15" customHeight="1" s="13"/>
    <row r="110" ht="15" customHeight="1" s="13"/>
    <row r="111" ht="15" customHeight="1" s="13"/>
    <row r="112" ht="15" customHeight="1" s="13"/>
    <row r="113" ht="15" customHeight="1" s="13"/>
    <row r="114" ht="15" customHeight="1" s="13"/>
    <row r="115" ht="15" customHeight="1" s="13"/>
  </sheetData>
  <autoFilter ref="A1:K94"/>
  <dataValidations count="3">
    <dataValidation sqref="D2:D87" showDropDown="0" showInputMessage="0" showErrorMessage="0" allowBlank="1" type="list">
      <formula1>=Lists!$E$2:$E$3</formula1>
    </dataValidation>
    <dataValidation sqref="E2:E87" showDropDown="0" showInputMessage="0" showErrorMessage="0" allowBlank="1" type="list">
      <formula1>=Lists!$F$2:$F$5</formula1>
    </dataValidation>
    <dataValidation sqref="G2:G87" showDropDown="0" showInputMessage="0" showErrorMessage="0" allowBlank="1" type="list">
      <formula1>=Lists!$D$2:$D$13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45" customWidth="1" style="12" min="2" max="2"/>
    <col width="52" customWidth="1" style="12" min="3" max="3"/>
    <col width="16" customWidth="1" style="12" min="4" max="4"/>
    <col width="14" customWidth="1" style="12" min="5" max="5"/>
  </cols>
  <sheetData>
    <row r="1" ht="15" customHeight="1" s="13">
      <c r="A1" s="16" t="inlineStr">
        <is>
          <t>Control ID</t>
        </is>
      </c>
      <c r="B1" s="16" t="inlineStr">
        <is>
          <t>Control Name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Criticality</t>
        </is>
      </c>
    </row>
    <row r="2" ht="28.35" customHeight="1" s="13">
      <c r="A2" s="19" t="inlineStr">
        <is>
          <t>A.5.1</t>
        </is>
      </c>
      <c r="B2" s="19" t="inlineStr">
        <is>
          <t>Policies for information security</t>
        </is>
      </c>
      <c r="C2" s="19" t="inlineStr">
        <is>
          <t>Policies for information security control supporting governance, risk reduction, and auditability.</t>
        </is>
      </c>
      <c r="D2" s="19" t="inlineStr">
        <is>
          <t>Organizational</t>
        </is>
      </c>
      <c r="E2" s="19" t="inlineStr">
        <is>
          <t>High</t>
        </is>
      </c>
    </row>
    <row r="3" ht="15" customHeight="1" s="13">
      <c r="A3" s="19" t="inlineStr">
        <is>
          <t>A.5.10</t>
        </is>
      </c>
      <c r="B3" s="19" t="inlineStr">
        <is>
          <t>Acceptable use of information and other associated assets</t>
        </is>
      </c>
      <c r="C3" s="19" t="inlineStr">
        <is>
          <t>Acceptable use of information and other associated assets control supporting governance, risk reduction, and auditability.</t>
        </is>
      </c>
      <c r="D3" s="19" t="inlineStr">
        <is>
          <t>Organizational</t>
        </is>
      </c>
      <c r="E3" s="19" t="inlineStr">
        <is>
          <t>High</t>
        </is>
      </c>
    </row>
    <row r="4" ht="28.35" customHeight="1" s="13">
      <c r="A4" s="19" t="inlineStr">
        <is>
          <t>A.5.11</t>
        </is>
      </c>
      <c r="B4" s="19" t="inlineStr">
        <is>
          <t>Return of assets</t>
        </is>
      </c>
      <c r="C4" s="19" t="inlineStr">
        <is>
          <t>Return of assets control supporting governance, risk reduction, and auditability.</t>
        </is>
      </c>
      <c r="D4" s="19" t="inlineStr">
        <is>
          <t>Organizational</t>
        </is>
      </c>
      <c r="E4" s="19" t="inlineStr">
        <is>
          <t>High</t>
        </is>
      </c>
    </row>
    <row r="5" ht="28.35" customHeight="1" s="13">
      <c r="A5" s="19" t="inlineStr">
        <is>
          <t>A.5.12</t>
        </is>
      </c>
      <c r="B5" s="19" t="inlineStr">
        <is>
          <t>Classification of information</t>
        </is>
      </c>
      <c r="C5" s="19" t="inlineStr">
        <is>
          <t>Classification of information control supporting governance, risk reduction, and auditability.</t>
        </is>
      </c>
      <c r="D5" s="19" t="inlineStr">
        <is>
          <t>Organizational</t>
        </is>
      </c>
      <c r="E5" s="19" t="inlineStr">
        <is>
          <t>High</t>
        </is>
      </c>
    </row>
    <row r="6" ht="28.35" customHeight="1" s="13">
      <c r="A6" s="19" t="inlineStr">
        <is>
          <t>A.5.13</t>
        </is>
      </c>
      <c r="B6" s="19" t="inlineStr">
        <is>
          <t>Labelling of information</t>
        </is>
      </c>
      <c r="C6" s="19" t="inlineStr">
        <is>
          <t>Labelling of information control supporting governance, risk reduction, and auditability.</t>
        </is>
      </c>
      <c r="D6" s="19" t="inlineStr">
        <is>
          <t>Organizational</t>
        </is>
      </c>
      <c r="E6" s="19" t="inlineStr">
        <is>
          <t>Medium</t>
        </is>
      </c>
    </row>
    <row r="7" ht="28.35" customHeight="1" s="13">
      <c r="A7" s="19" t="inlineStr">
        <is>
          <t>A.5.14</t>
        </is>
      </c>
      <c r="B7" s="19" t="inlineStr">
        <is>
          <t>Information transfer</t>
        </is>
      </c>
      <c r="C7" s="19" t="inlineStr">
        <is>
          <t>Information transfer control supporting governance, risk reduction, and auditability.</t>
        </is>
      </c>
      <c r="D7" s="19" t="inlineStr">
        <is>
          <t>Organizational</t>
        </is>
      </c>
      <c r="E7" s="19" t="inlineStr">
        <is>
          <t>High</t>
        </is>
      </c>
    </row>
    <row r="8" ht="28.35" customHeight="1" s="13">
      <c r="A8" s="19" t="inlineStr">
        <is>
          <t>A.5.15</t>
        </is>
      </c>
      <c r="B8" s="19" t="inlineStr">
        <is>
          <t>Access control</t>
        </is>
      </c>
      <c r="C8" s="19" t="inlineStr">
        <is>
          <t>Access control control supporting governance, risk reduction, and auditability.</t>
        </is>
      </c>
      <c r="D8" s="19" t="inlineStr">
        <is>
          <t>Organizational</t>
        </is>
      </c>
      <c r="E8" s="19" t="inlineStr">
        <is>
          <t>Critical</t>
        </is>
      </c>
    </row>
    <row r="9" ht="15" customHeight="1" s="13">
      <c r="A9" s="19" t="inlineStr">
        <is>
          <t>A.5.16</t>
        </is>
      </c>
      <c r="B9" s="19" t="inlineStr">
        <is>
          <t>Identity management</t>
        </is>
      </c>
      <c r="C9" s="19" t="inlineStr">
        <is>
          <t>Identity management control supporting governance, risk reduction, and auditability.</t>
        </is>
      </c>
      <c r="D9" s="19" t="inlineStr">
        <is>
          <t>Organizational</t>
        </is>
      </c>
      <c r="E9" s="19" t="inlineStr">
        <is>
          <t>Critical</t>
        </is>
      </c>
    </row>
    <row r="10" ht="15" customHeight="1" s="13">
      <c r="A10" s="19" t="inlineStr">
        <is>
          <t>A.5.17</t>
        </is>
      </c>
      <c r="B10" s="19" t="inlineStr">
        <is>
          <t>Authentication information</t>
        </is>
      </c>
      <c r="C10" s="19" t="inlineStr">
        <is>
          <t>Authentication information control supporting governance, risk reduction, and auditability.</t>
        </is>
      </c>
      <c r="D10" s="19" t="inlineStr">
        <is>
          <t>Organizational</t>
        </is>
      </c>
      <c r="E10" s="19" t="inlineStr">
        <is>
          <t>Critical</t>
        </is>
      </c>
    </row>
    <row r="11" ht="28.35" customHeight="1" s="13">
      <c r="A11" s="19" t="inlineStr">
        <is>
          <t>A.5.18</t>
        </is>
      </c>
      <c r="B11" s="19" t="inlineStr">
        <is>
          <t>Access rights</t>
        </is>
      </c>
      <c r="C11" s="19" t="inlineStr">
        <is>
          <t>Access rights control supporting governance, risk reduction, and auditability.</t>
        </is>
      </c>
      <c r="D11" s="19" t="inlineStr">
        <is>
          <t>Organizational</t>
        </is>
      </c>
      <c r="E11" s="19" t="inlineStr">
        <is>
          <t>Critical</t>
        </is>
      </c>
    </row>
    <row r="12" ht="28.35" customHeight="1" s="13">
      <c r="A12" s="19" t="inlineStr">
        <is>
          <t>A.5.19</t>
        </is>
      </c>
      <c r="B12" s="19" t="inlineStr">
        <is>
          <t>Information security in supplier relationships</t>
        </is>
      </c>
      <c r="C12" s="19" t="inlineStr">
        <is>
          <t>Information security in supplier relationships control supporting governance, risk reduction, and auditability.</t>
        </is>
      </c>
      <c r="D12" s="19" t="inlineStr">
        <is>
          <t>Organizational</t>
        </is>
      </c>
      <c r="E12" s="19" t="inlineStr">
        <is>
          <t>High</t>
        </is>
      </c>
    </row>
    <row r="13" ht="15" customHeight="1" s="13">
      <c r="A13" s="19" t="inlineStr">
        <is>
          <t>A.5.2</t>
        </is>
      </c>
      <c r="B13" s="19" t="inlineStr">
        <is>
          <t>Information security roles and responsibilities</t>
        </is>
      </c>
      <c r="C13" s="19" t="inlineStr">
        <is>
          <t>Information security roles and responsibilities control supporting governance, risk reduction, and auditability.</t>
        </is>
      </c>
      <c r="D13" s="19" t="inlineStr">
        <is>
          <t>Organizational</t>
        </is>
      </c>
      <c r="E13" s="19" t="inlineStr">
        <is>
          <t>High</t>
        </is>
      </c>
    </row>
    <row r="14" ht="15" customHeight="1" s="13">
      <c r="A14" s="19" t="inlineStr">
        <is>
          <t>A.5.20</t>
        </is>
      </c>
      <c r="B14" s="19" t="inlineStr">
        <is>
          <t>Addressing information security within supplier agreements</t>
        </is>
      </c>
      <c r="C14" s="19" t="inlineStr">
        <is>
          <t>Addressing information security within supplier agreements control supporting governance, risk reduction, and auditability.</t>
        </is>
      </c>
      <c r="D14" s="19" t="inlineStr">
        <is>
          <t>Organizational</t>
        </is>
      </c>
      <c r="E14" s="19" t="inlineStr">
        <is>
          <t>High</t>
        </is>
      </c>
    </row>
    <row r="15" ht="15" customHeight="1" s="13">
      <c r="A15" s="19" t="inlineStr">
        <is>
          <t>A.5.21</t>
        </is>
      </c>
      <c r="B15" s="19" t="inlineStr">
        <is>
          <t>Managing information security in the ICT supply chain</t>
        </is>
      </c>
      <c r="C15" s="19" t="inlineStr">
        <is>
          <t>Managing information security in the ICT supply chain control supporting governance, risk reduction, and auditability.</t>
        </is>
      </c>
      <c r="D15" s="19" t="inlineStr">
        <is>
          <t>Organizational</t>
        </is>
      </c>
      <c r="E15" s="19" t="inlineStr">
        <is>
          <t>High</t>
        </is>
      </c>
    </row>
    <row r="16" ht="15" customHeight="1" s="13">
      <c r="A16" s="19" t="inlineStr">
        <is>
          <t>A.5.22</t>
        </is>
      </c>
      <c r="B16" s="19" t="inlineStr">
        <is>
          <t>Monitoring, review and change management of supplier services</t>
        </is>
      </c>
      <c r="C16" s="19" t="inlineStr">
        <is>
          <t>Monitoring, review and change management of supplier services control supporting governance, risk reduction, and auditability.</t>
        </is>
      </c>
      <c r="D16" s="19" t="inlineStr">
        <is>
          <t>Organizational</t>
        </is>
      </c>
      <c r="E16" s="19" t="inlineStr">
        <is>
          <t>High</t>
        </is>
      </c>
    </row>
    <row r="17" ht="15" customHeight="1" s="13">
      <c r="A17" s="19" t="inlineStr">
        <is>
          <t>A.5.23</t>
        </is>
      </c>
      <c r="B17" s="19" t="inlineStr">
        <is>
          <t>Information security for use of cloud services</t>
        </is>
      </c>
      <c r="C17" s="19" t="inlineStr">
        <is>
          <t>Information security for use of cloud services control supporting governance, risk reduction, and auditability.</t>
        </is>
      </c>
      <c r="D17" s="19" t="inlineStr">
        <is>
          <t>Organizational</t>
        </is>
      </c>
      <c r="E17" s="19" t="inlineStr">
        <is>
          <t>High</t>
        </is>
      </c>
    </row>
    <row r="18" ht="15" customHeight="1" s="13">
      <c r="A18" s="19" t="inlineStr">
        <is>
          <t>A.5.24</t>
        </is>
      </c>
      <c r="B18" s="19" t="inlineStr">
        <is>
          <t>Information security incident management planning and preparation</t>
        </is>
      </c>
      <c r="C18" s="19" t="inlineStr">
        <is>
          <t>Information security incident management planning and preparation control supporting governance, risk reduction, and auditability.</t>
        </is>
      </c>
      <c r="D18" s="19" t="inlineStr">
        <is>
          <t>Organizational</t>
        </is>
      </c>
      <c r="E18" s="19" t="inlineStr">
        <is>
          <t>Critical</t>
        </is>
      </c>
    </row>
    <row r="19" ht="15" customHeight="1" s="13">
      <c r="A19" s="19" t="inlineStr">
        <is>
          <t>A.5.25</t>
        </is>
      </c>
      <c r="B19" s="19" t="inlineStr">
        <is>
          <t>Assessment and decision on information security events</t>
        </is>
      </c>
      <c r="C19" s="19" t="inlineStr">
        <is>
          <t>Assessment and decision on information security events control supporting governance, risk reduction, and auditability.</t>
        </is>
      </c>
      <c r="D19" s="19" t="inlineStr">
        <is>
          <t>Organizational</t>
        </is>
      </c>
      <c r="E19" s="19" t="inlineStr">
        <is>
          <t>High</t>
        </is>
      </c>
    </row>
    <row r="20" ht="15" customHeight="1" s="13">
      <c r="A20" s="19" t="inlineStr">
        <is>
          <t>A.5.26</t>
        </is>
      </c>
      <c r="B20" s="19" t="inlineStr">
        <is>
          <t>Response to information security incidents</t>
        </is>
      </c>
      <c r="C20" s="19" t="inlineStr">
        <is>
          <t>Response to information security incidents control supporting governance, risk reduction, and auditability.</t>
        </is>
      </c>
      <c r="D20" s="19" t="inlineStr">
        <is>
          <t>Organizational</t>
        </is>
      </c>
      <c r="E20" s="19" t="inlineStr">
        <is>
          <t>Critical</t>
        </is>
      </c>
    </row>
    <row r="21" ht="15" customHeight="1" s="13">
      <c r="A21" s="19" t="inlineStr">
        <is>
          <t>A.5.27</t>
        </is>
      </c>
      <c r="B21" s="19" t="inlineStr">
        <is>
          <t>Learning from information security incidents</t>
        </is>
      </c>
      <c r="C21" s="19" t="inlineStr">
        <is>
          <t>Learning from information security incidents control supporting governance, risk reduction, and auditability.</t>
        </is>
      </c>
      <c r="D21" s="19" t="inlineStr">
        <is>
          <t>Organizational</t>
        </is>
      </c>
      <c r="E21" s="19" t="inlineStr">
        <is>
          <t>Medium</t>
        </is>
      </c>
    </row>
    <row r="22" ht="15" customHeight="1" s="13">
      <c r="A22" s="19" t="inlineStr">
        <is>
          <t>A.5.28</t>
        </is>
      </c>
      <c r="B22" s="19" t="inlineStr">
        <is>
          <t>Collection of evidence</t>
        </is>
      </c>
      <c r="C22" s="19" t="inlineStr">
        <is>
          <t>Collection of evidence control supporting governance, risk reduction, and auditability.</t>
        </is>
      </c>
      <c r="D22" s="19" t="inlineStr">
        <is>
          <t>Organizational</t>
        </is>
      </c>
      <c r="E22" s="19" t="inlineStr">
        <is>
          <t>Medium</t>
        </is>
      </c>
    </row>
    <row r="23" ht="15" customHeight="1" s="13">
      <c r="A23" s="19" t="inlineStr">
        <is>
          <t>A.5.29</t>
        </is>
      </c>
      <c r="B23" s="19" t="inlineStr">
        <is>
          <t>Information security during disruption</t>
        </is>
      </c>
      <c r="C23" s="19" t="inlineStr">
        <is>
          <t>Information security during disruption control supporting governance, risk reduction, and auditability.</t>
        </is>
      </c>
      <c r="D23" s="19" t="inlineStr">
        <is>
          <t>Organizational</t>
        </is>
      </c>
      <c r="E23" s="19" t="inlineStr">
        <is>
          <t>High</t>
        </is>
      </c>
    </row>
    <row r="24" ht="15" customHeight="1" s="13">
      <c r="A24" s="19" t="inlineStr">
        <is>
          <t>A.5.3</t>
        </is>
      </c>
      <c r="B24" s="19" t="inlineStr">
        <is>
          <t>Segregation of duties</t>
        </is>
      </c>
      <c r="C24" s="19" t="inlineStr">
        <is>
          <t>Segregation of duties control supporting governance, risk reduction, and auditability.</t>
        </is>
      </c>
      <c r="D24" s="19" t="inlineStr">
        <is>
          <t>Organizational</t>
        </is>
      </c>
      <c r="E24" s="19" t="inlineStr">
        <is>
          <t>High</t>
        </is>
      </c>
    </row>
    <row r="25" ht="15" customHeight="1" s="13">
      <c r="A25" s="19" t="inlineStr">
        <is>
          <t>A.5.30</t>
        </is>
      </c>
      <c r="B25" s="19" t="inlineStr">
        <is>
          <t>ICT readiness for business continuity</t>
        </is>
      </c>
      <c r="C25" s="19" t="inlineStr">
        <is>
          <t>ICT readiness for business continuity control supporting governance, risk reduction, and auditability.</t>
        </is>
      </c>
      <c r="D25" s="19" t="inlineStr">
        <is>
          <t>Organizational</t>
        </is>
      </c>
      <c r="E25" s="19" t="inlineStr">
        <is>
          <t>High</t>
        </is>
      </c>
    </row>
    <row r="26" ht="15" customHeight="1" s="13">
      <c r="A26" s="19" t="inlineStr">
        <is>
          <t>A.5.31</t>
        </is>
      </c>
      <c r="B26" s="19" t="inlineStr">
        <is>
          <t>Legal, statutory, regulatory and contractual requirements</t>
        </is>
      </c>
      <c r="C26" s="19" t="inlineStr">
        <is>
          <t>Legal, statutory, regulatory and contractual requirements control supporting governance and audit readiness.</t>
        </is>
      </c>
      <c r="D26" s="19" t="inlineStr">
        <is>
          <t>Organizational</t>
        </is>
      </c>
      <c r="E26" s="19" t="inlineStr">
        <is>
          <t>High</t>
        </is>
      </c>
    </row>
    <row r="27">
      <c r="A27" s="19" t="inlineStr">
        <is>
          <t>A.5.32</t>
        </is>
      </c>
      <c r="B27" s="19" t="inlineStr">
        <is>
          <t>Intellectual property rights</t>
        </is>
      </c>
      <c r="C27" s="19" t="inlineStr">
        <is>
          <t>Intellectual property rights control supporting governance and audit readiness.</t>
        </is>
      </c>
      <c r="D27" s="19" t="inlineStr">
        <is>
          <t>Organizational</t>
        </is>
      </c>
      <c r="E27" s="19" t="inlineStr">
        <is>
          <t>High</t>
        </is>
      </c>
    </row>
    <row r="28">
      <c r="A28" s="19" t="inlineStr">
        <is>
          <t>A.5.33</t>
        </is>
      </c>
      <c r="B28" s="19" t="inlineStr">
        <is>
          <t>Protection of records</t>
        </is>
      </c>
      <c r="C28" s="19" t="inlineStr">
        <is>
          <t>Protection of records control supporting governance and audit readiness.</t>
        </is>
      </c>
      <c r="D28" s="19" t="inlineStr">
        <is>
          <t>Organizational</t>
        </is>
      </c>
      <c r="E28" s="19" t="inlineStr">
        <is>
          <t>High</t>
        </is>
      </c>
    </row>
    <row r="29">
      <c r="A29" s="19" t="inlineStr">
        <is>
          <t>A.5.34</t>
        </is>
      </c>
      <c r="B29" s="19" t="inlineStr">
        <is>
          <t>Privacy and protection of PII</t>
        </is>
      </c>
      <c r="C29" s="19" t="inlineStr">
        <is>
          <t>Privacy and protection of PII control supporting governance and audit readiness.</t>
        </is>
      </c>
      <c r="D29" s="19" t="inlineStr">
        <is>
          <t>Organizational</t>
        </is>
      </c>
      <c r="E29" s="19" t="inlineStr">
        <is>
          <t>High</t>
        </is>
      </c>
    </row>
    <row r="30">
      <c r="A30" s="19" t="inlineStr">
        <is>
          <t>A.5.35</t>
        </is>
      </c>
      <c r="B30" s="19" t="inlineStr">
        <is>
          <t>Independent review of information security</t>
        </is>
      </c>
      <c r="C30" s="19" t="inlineStr">
        <is>
          <t>Independent review of information security control supporting governance and audit readiness.</t>
        </is>
      </c>
      <c r="D30" s="19" t="inlineStr">
        <is>
          <t>Organizational</t>
        </is>
      </c>
      <c r="E30" s="19" t="inlineStr">
        <is>
          <t>Medium</t>
        </is>
      </c>
    </row>
    <row r="31">
      <c r="A31" s="19" t="inlineStr">
        <is>
          <t>A.5.36</t>
        </is>
      </c>
      <c r="B31" s="19" t="inlineStr">
        <is>
          <t>Compliance with policies, rules and standards for information security</t>
        </is>
      </c>
      <c r="C31" s="19" t="inlineStr">
        <is>
          <t>Compliance with policies, rules and standards for information security control supporting governance and audit readiness.</t>
        </is>
      </c>
      <c r="D31" s="19" t="inlineStr">
        <is>
          <t>Organizational</t>
        </is>
      </c>
      <c r="E31" s="19" t="inlineStr">
        <is>
          <t>Medium</t>
        </is>
      </c>
    </row>
    <row r="32">
      <c r="A32" s="19" t="inlineStr">
        <is>
          <t>A.5.37</t>
        </is>
      </c>
      <c r="B32" s="19" t="inlineStr">
        <is>
          <t>Documented operating procedures</t>
        </is>
      </c>
      <c r="C32" s="19" t="inlineStr">
        <is>
          <t>Documented operating procedures control supporting governance and audit readiness.</t>
        </is>
      </c>
      <c r="D32" s="19" t="inlineStr">
        <is>
          <t>Organizational</t>
        </is>
      </c>
      <c r="E32" s="19" t="inlineStr">
        <is>
          <t>Medium</t>
        </is>
      </c>
    </row>
    <row r="33">
      <c r="A33" s="19" t="inlineStr">
        <is>
          <t>A.5.4</t>
        </is>
      </c>
      <c r="B33" s="19" t="inlineStr">
        <is>
          <t>Management responsibilities</t>
        </is>
      </c>
      <c r="C33" s="19" t="inlineStr">
        <is>
          <t>Management responsibilities control supporting governance, risk reduction, and auditability.</t>
        </is>
      </c>
      <c r="D33" s="19" t="inlineStr">
        <is>
          <t>Organizational</t>
        </is>
      </c>
      <c r="E33" s="19" t="inlineStr">
        <is>
          <t>High</t>
        </is>
      </c>
    </row>
    <row r="34">
      <c r="A34" s="19" t="inlineStr">
        <is>
          <t>A.5.5</t>
        </is>
      </c>
      <c r="B34" s="19" t="inlineStr">
        <is>
          <t>Contact with authorities</t>
        </is>
      </c>
      <c r="C34" s="19" t="inlineStr">
        <is>
          <t>Contact with authorities control supporting governance, risk reduction, and auditability.</t>
        </is>
      </c>
      <c r="D34" s="19" t="inlineStr">
        <is>
          <t>Organizational</t>
        </is>
      </c>
      <c r="E34" s="19" t="inlineStr">
        <is>
          <t>Medium</t>
        </is>
      </c>
    </row>
    <row r="35">
      <c r="A35" s="19" t="inlineStr">
        <is>
          <t>A.5.6</t>
        </is>
      </c>
      <c r="B35" s="19" t="inlineStr">
        <is>
          <t>Contact with special interest groups</t>
        </is>
      </c>
      <c r="C35" s="19" t="inlineStr">
        <is>
          <t>Contact with special interest groups control supporting governance, risk reduction, and auditability.</t>
        </is>
      </c>
      <c r="D35" s="19" t="inlineStr">
        <is>
          <t>Organizational</t>
        </is>
      </c>
      <c r="E35" s="19" t="inlineStr">
        <is>
          <t>Medium</t>
        </is>
      </c>
    </row>
    <row r="36">
      <c r="A36" s="19" t="inlineStr">
        <is>
          <t>A.5.7</t>
        </is>
      </c>
      <c r="B36" s="19" t="inlineStr">
        <is>
          <t>Threat intelligence</t>
        </is>
      </c>
      <c r="C36" s="19" t="inlineStr">
        <is>
          <t>Threat intelligence control supporting governance, risk reduction, and auditability.</t>
        </is>
      </c>
      <c r="D36" s="19" t="inlineStr">
        <is>
          <t>Organizational</t>
        </is>
      </c>
      <c r="E36" s="19" t="inlineStr">
        <is>
          <t>Medium</t>
        </is>
      </c>
    </row>
    <row r="37">
      <c r="A37" s="19" t="inlineStr">
        <is>
          <t>A.5.8</t>
        </is>
      </c>
      <c r="B37" s="19" t="inlineStr">
        <is>
          <t>Information security in project management</t>
        </is>
      </c>
      <c r="C37" s="19" t="inlineStr">
        <is>
          <t>Information security in project management control supporting governance, risk reduction, and auditability.</t>
        </is>
      </c>
      <c r="D37" s="19" t="inlineStr">
        <is>
          <t>Organizational</t>
        </is>
      </c>
      <c r="E37" s="19" t="inlineStr">
        <is>
          <t>Medium</t>
        </is>
      </c>
    </row>
    <row r="38">
      <c r="A38" s="19" t="inlineStr">
        <is>
          <t>A.5.9</t>
        </is>
      </c>
      <c r="B38" s="19" t="inlineStr">
        <is>
          <t>Inventory of information and other associated assets</t>
        </is>
      </c>
      <c r="C38" s="19" t="inlineStr">
        <is>
          <t>Inventory of information and other associated assets control supporting governance, risk reduction, and auditability.</t>
        </is>
      </c>
      <c r="D38" s="19" t="inlineStr">
        <is>
          <t>Organizational</t>
        </is>
      </c>
      <c r="E38" s="19" t="inlineStr">
        <is>
          <t>High</t>
        </is>
      </c>
    </row>
    <row r="39">
      <c r="A39" s="19" t="inlineStr">
        <is>
          <t>A.6.1</t>
        </is>
      </c>
      <c r="B39" s="19" t="inlineStr">
        <is>
          <t>Screening</t>
        </is>
      </c>
      <c r="C39" s="19" t="inlineStr">
        <is>
          <t>Screening control supporting governance, risk reduction, and auditability.</t>
        </is>
      </c>
      <c r="D39" s="19" t="inlineStr">
        <is>
          <t>People</t>
        </is>
      </c>
      <c r="E39" s="19" t="inlineStr">
        <is>
          <t>High</t>
        </is>
      </c>
    </row>
    <row r="40">
      <c r="A40" s="19" t="inlineStr">
        <is>
          <t>A.6.2</t>
        </is>
      </c>
      <c r="B40" s="19" t="inlineStr">
        <is>
          <t>Terms and conditions of employment</t>
        </is>
      </c>
      <c r="C40" s="19" t="inlineStr">
        <is>
          <t>Terms and conditions of employment control supporting governance, risk reduction, and auditability.</t>
        </is>
      </c>
      <c r="D40" s="19" t="inlineStr">
        <is>
          <t>People</t>
        </is>
      </c>
      <c r="E40" s="19" t="inlineStr">
        <is>
          <t>High</t>
        </is>
      </c>
    </row>
    <row r="41">
      <c r="A41" s="19" t="inlineStr">
        <is>
          <t>A.6.3</t>
        </is>
      </c>
      <c r="B41" s="19" t="inlineStr">
        <is>
          <t>Information security awareness, education and training</t>
        </is>
      </c>
      <c r="C41" s="19" t="inlineStr">
        <is>
          <t>Information security awareness, education and training control supporting governance, risk reduction, and auditability.</t>
        </is>
      </c>
      <c r="D41" s="19" t="inlineStr">
        <is>
          <t>People</t>
        </is>
      </c>
      <c r="E41" s="19" t="inlineStr">
        <is>
          <t>High</t>
        </is>
      </c>
    </row>
    <row r="42">
      <c r="A42" s="19" t="inlineStr">
        <is>
          <t>A.6.4</t>
        </is>
      </c>
      <c r="B42" s="19" t="inlineStr">
        <is>
          <t>Disciplinary process</t>
        </is>
      </c>
      <c r="C42" s="19" t="inlineStr">
        <is>
          <t>Disciplinary process control supporting governance, risk reduction, and auditability.</t>
        </is>
      </c>
      <c r="D42" s="19" t="inlineStr">
        <is>
          <t>People</t>
        </is>
      </c>
      <c r="E42" s="19" t="inlineStr">
        <is>
          <t>Medium</t>
        </is>
      </c>
    </row>
    <row r="43">
      <c r="A43" s="19" t="inlineStr">
        <is>
          <t>A.6.5</t>
        </is>
      </c>
      <c r="B43" s="19" t="inlineStr">
        <is>
          <t>Responsibilities after termination or change of employment</t>
        </is>
      </c>
      <c r="C43" s="19" t="inlineStr">
        <is>
          <t>Responsibilities after termination or change of employment control supporting governance, risk reduction, and auditability.</t>
        </is>
      </c>
      <c r="D43" s="19" t="inlineStr">
        <is>
          <t>People</t>
        </is>
      </c>
      <c r="E43" s="19" t="inlineStr">
        <is>
          <t>High</t>
        </is>
      </c>
    </row>
    <row r="44">
      <c r="A44" s="19" t="inlineStr">
        <is>
          <t>A.6.6</t>
        </is>
      </c>
      <c r="B44" s="19" t="inlineStr">
        <is>
          <t>Confidentiality or non-disclosure agreements</t>
        </is>
      </c>
      <c r="C44" s="19" t="inlineStr">
        <is>
          <t>Confidentiality or non-disclosure agreements control supporting governance, risk reduction, and auditability.</t>
        </is>
      </c>
      <c r="D44" s="19" t="inlineStr">
        <is>
          <t>People</t>
        </is>
      </c>
      <c r="E44" s="19" t="inlineStr">
        <is>
          <t>High</t>
        </is>
      </c>
    </row>
    <row r="45">
      <c r="A45" s="19" t="inlineStr">
        <is>
          <t>A.6.7</t>
        </is>
      </c>
      <c r="B45" s="19" t="inlineStr">
        <is>
          <t>Remote working</t>
        </is>
      </c>
      <c r="C45" s="19" t="inlineStr">
        <is>
          <t>Remote working control supporting governance, risk reduction, and auditability.</t>
        </is>
      </c>
      <c r="D45" s="19" t="inlineStr">
        <is>
          <t>People</t>
        </is>
      </c>
      <c r="E45" s="19" t="inlineStr">
        <is>
          <t>High</t>
        </is>
      </c>
    </row>
    <row r="46">
      <c r="A46" s="19" t="inlineStr">
        <is>
          <t>A.6.8</t>
        </is>
      </c>
      <c r="B46" s="19" t="inlineStr">
        <is>
          <t>Information security event reporting</t>
        </is>
      </c>
      <c r="C46" s="19" t="inlineStr">
        <is>
          <t>Information security event reporting control supporting governance, risk reduction, and auditability.</t>
        </is>
      </c>
      <c r="D46" s="19" t="inlineStr">
        <is>
          <t>People</t>
        </is>
      </c>
      <c r="E46" s="19" t="inlineStr">
        <is>
          <t>High</t>
        </is>
      </c>
    </row>
    <row r="47">
      <c r="A47" s="19" t="inlineStr">
        <is>
          <t>A.7.1</t>
        </is>
      </c>
      <c r="B47" s="19" t="inlineStr">
        <is>
          <t>Physical security perimeters</t>
        </is>
      </c>
      <c r="C47" s="19" t="inlineStr">
        <is>
          <t>Physical security perimeters control supporting governance, risk reduction, and auditability.</t>
        </is>
      </c>
      <c r="D47" s="19" t="inlineStr">
        <is>
          <t>Physical</t>
        </is>
      </c>
      <c r="E47" s="19" t="inlineStr">
        <is>
          <t>High</t>
        </is>
      </c>
    </row>
    <row r="48">
      <c r="A48" s="19" t="inlineStr">
        <is>
          <t>A.7.10</t>
        </is>
      </c>
      <c r="B48" s="19" t="inlineStr">
        <is>
          <t>Storage media</t>
        </is>
      </c>
      <c r="C48" s="19" t="inlineStr">
        <is>
          <t>Storage media control supporting governance, risk reduction, and auditability.</t>
        </is>
      </c>
      <c r="D48" s="19" t="inlineStr">
        <is>
          <t>Physical</t>
        </is>
      </c>
      <c r="E48" s="19" t="inlineStr">
        <is>
          <t>High</t>
        </is>
      </c>
    </row>
    <row r="49">
      <c r="A49" s="19" t="inlineStr">
        <is>
          <t>A.7.11</t>
        </is>
      </c>
      <c r="B49" s="19" t="inlineStr">
        <is>
          <t>Supporting utilities</t>
        </is>
      </c>
      <c r="C49" s="19" t="inlineStr">
        <is>
          <t>Supporting utilities control supporting governance, risk reduction, and auditability.</t>
        </is>
      </c>
      <c r="D49" s="19" t="inlineStr">
        <is>
          <t>Physical</t>
        </is>
      </c>
      <c r="E49" s="19" t="inlineStr">
        <is>
          <t>High</t>
        </is>
      </c>
    </row>
    <row r="50">
      <c r="A50" s="19" t="inlineStr">
        <is>
          <t>A.7.12</t>
        </is>
      </c>
      <c r="B50" s="19" t="inlineStr">
        <is>
          <t>Cabling security</t>
        </is>
      </c>
      <c r="C50" s="19" t="inlineStr">
        <is>
          <t>Cabling security control supporting governance, risk reduction, and auditability.</t>
        </is>
      </c>
      <c r="D50" s="19" t="inlineStr">
        <is>
          <t>Physical</t>
        </is>
      </c>
      <c r="E50" s="19" t="inlineStr">
        <is>
          <t>Medium</t>
        </is>
      </c>
    </row>
    <row r="51">
      <c r="A51" s="19" t="inlineStr">
        <is>
          <t>A.7.13</t>
        </is>
      </c>
      <c r="B51" s="19" t="inlineStr">
        <is>
          <t>Equipment maintenance</t>
        </is>
      </c>
      <c r="C51" s="19" t="inlineStr">
        <is>
          <t>Equipment maintenance control supporting governance, risk reduction, and auditability.</t>
        </is>
      </c>
      <c r="D51" s="19" t="inlineStr">
        <is>
          <t>Physical</t>
        </is>
      </c>
      <c r="E51" s="19" t="inlineStr">
        <is>
          <t>Medium</t>
        </is>
      </c>
    </row>
    <row r="52">
      <c r="A52" s="19" t="inlineStr">
        <is>
          <t>A.7.14</t>
        </is>
      </c>
      <c r="B52" s="19" t="inlineStr">
        <is>
          <t>Secure disposal or re-use of equipment</t>
        </is>
      </c>
      <c r="C52" s="19" t="inlineStr">
        <is>
          <t>Secure disposal or re-use of equipment control supporting governance, risk reduction, and auditability.</t>
        </is>
      </c>
      <c r="D52" s="19" t="inlineStr">
        <is>
          <t>Physical</t>
        </is>
      </c>
      <c r="E52" s="19" t="inlineStr">
        <is>
          <t>High</t>
        </is>
      </c>
    </row>
    <row r="53">
      <c r="A53" s="19" t="inlineStr">
        <is>
          <t>A.7.2</t>
        </is>
      </c>
      <c r="B53" s="19" t="inlineStr">
        <is>
          <t>Physical entry</t>
        </is>
      </c>
      <c r="C53" s="19" t="inlineStr">
        <is>
          <t>Physical entry control supporting governance, risk reduction, and auditability.</t>
        </is>
      </c>
      <c r="D53" s="19" t="inlineStr">
        <is>
          <t>Physical</t>
        </is>
      </c>
      <c r="E53" s="19" t="inlineStr">
        <is>
          <t>High</t>
        </is>
      </c>
    </row>
    <row r="54">
      <c r="A54" s="19" t="inlineStr">
        <is>
          <t>A.7.3</t>
        </is>
      </c>
      <c r="B54" s="19" t="inlineStr">
        <is>
          <t>Securing offices, rooms and facilities</t>
        </is>
      </c>
      <c r="C54" s="19" t="inlineStr">
        <is>
          <t>Securing offices, rooms and facilities control supporting governance, risk reduction, and auditability.</t>
        </is>
      </c>
      <c r="D54" s="19" t="inlineStr">
        <is>
          <t>Physical</t>
        </is>
      </c>
      <c r="E54" s="19" t="inlineStr">
        <is>
          <t>High</t>
        </is>
      </c>
    </row>
    <row r="55">
      <c r="A55" s="19" t="inlineStr">
        <is>
          <t>A.7.4</t>
        </is>
      </c>
      <c r="B55" s="19" t="inlineStr">
        <is>
          <t>Physical security monitoring</t>
        </is>
      </c>
      <c r="C55" s="19" t="inlineStr">
        <is>
          <t>Physical security monitoring control supporting governance, risk reduction, and auditability.</t>
        </is>
      </c>
      <c r="D55" s="19" t="inlineStr">
        <is>
          <t>Physical</t>
        </is>
      </c>
      <c r="E55" s="19" t="inlineStr">
        <is>
          <t>Medium</t>
        </is>
      </c>
    </row>
    <row r="56">
      <c r="A56" s="19" t="inlineStr">
        <is>
          <t>A.7.5</t>
        </is>
      </c>
      <c r="B56" s="19" t="inlineStr">
        <is>
          <t>Protecting against physical and environmental threats</t>
        </is>
      </c>
      <c r="C56" s="19" t="inlineStr">
        <is>
          <t>Protecting against physical and environmental threats control supporting governance, risk reduction, and auditability.</t>
        </is>
      </c>
      <c r="D56" s="19" t="inlineStr">
        <is>
          <t>Physical</t>
        </is>
      </c>
      <c r="E56" s="19" t="inlineStr">
        <is>
          <t>High</t>
        </is>
      </c>
    </row>
    <row r="57">
      <c r="A57" s="19" t="inlineStr">
        <is>
          <t>A.7.6</t>
        </is>
      </c>
      <c r="B57" s="19" t="inlineStr">
        <is>
          <t>Working in secure areas</t>
        </is>
      </c>
      <c r="C57" s="19" t="inlineStr">
        <is>
          <t>Working in secure areas control supporting governance, risk reduction, and auditability.</t>
        </is>
      </c>
      <c r="D57" s="19" t="inlineStr">
        <is>
          <t>Physical</t>
        </is>
      </c>
      <c r="E57" s="19" t="inlineStr">
        <is>
          <t>High</t>
        </is>
      </c>
    </row>
    <row r="58">
      <c r="A58" s="19" t="inlineStr">
        <is>
          <t>A.7.7</t>
        </is>
      </c>
      <c r="B58" s="19" t="inlineStr">
        <is>
          <t>Clear desk and clear screen</t>
        </is>
      </c>
      <c r="C58" s="19" t="inlineStr">
        <is>
          <t>Clear desk and clear screen control supporting governance, risk reduction, and auditability.</t>
        </is>
      </c>
      <c r="D58" s="19" t="inlineStr">
        <is>
          <t>Physical</t>
        </is>
      </c>
      <c r="E58" s="19" t="inlineStr">
        <is>
          <t>Medium</t>
        </is>
      </c>
    </row>
    <row r="59">
      <c r="A59" s="19" t="inlineStr">
        <is>
          <t>A.7.8</t>
        </is>
      </c>
      <c r="B59" s="19" t="inlineStr">
        <is>
          <t>Equipment siting and protection</t>
        </is>
      </c>
      <c r="C59" s="19" t="inlineStr">
        <is>
          <t>Equipment siting and protection control supporting governance, risk reduction, and auditability.</t>
        </is>
      </c>
      <c r="D59" s="19" t="inlineStr">
        <is>
          <t>Physical</t>
        </is>
      </c>
      <c r="E59" s="19" t="inlineStr">
        <is>
          <t>High</t>
        </is>
      </c>
    </row>
    <row r="60">
      <c r="A60" s="19" t="inlineStr">
        <is>
          <t>A.7.9</t>
        </is>
      </c>
      <c r="B60" s="19" t="inlineStr">
        <is>
          <t>Security of assets off-premises</t>
        </is>
      </c>
      <c r="C60" s="19" t="inlineStr">
        <is>
          <t>Security of assets off-premises control supporting governance, risk reduction, and auditability.</t>
        </is>
      </c>
      <c r="D60" s="19" t="inlineStr">
        <is>
          <t>Physical</t>
        </is>
      </c>
      <c r="E60" s="19" t="inlineStr">
        <is>
          <t>High</t>
        </is>
      </c>
    </row>
    <row r="61">
      <c r="A61" s="19" t="inlineStr">
        <is>
          <t>A.8.1</t>
        </is>
      </c>
      <c r="B61" s="19" t="inlineStr">
        <is>
          <t>User endpoint devices</t>
        </is>
      </c>
      <c r="C61" s="19" t="inlineStr">
        <is>
          <t>User endpoint devices control supporting governance, risk reduction, and auditability.</t>
        </is>
      </c>
      <c r="D61" s="19" t="inlineStr">
        <is>
          <t>Technological</t>
        </is>
      </c>
      <c r="E61" s="19" t="inlineStr">
        <is>
          <t>High</t>
        </is>
      </c>
    </row>
    <row r="62">
      <c r="A62" s="19" t="inlineStr">
        <is>
          <t>A.8.10</t>
        </is>
      </c>
      <c r="B62" s="19" t="inlineStr">
        <is>
          <t>Information deletion</t>
        </is>
      </c>
      <c r="C62" s="19" t="inlineStr">
        <is>
          <t>Information deletion control supporting governance, risk reduction, and auditability.</t>
        </is>
      </c>
      <c r="D62" s="19" t="inlineStr">
        <is>
          <t>Technological</t>
        </is>
      </c>
      <c r="E62" s="19" t="inlineStr">
        <is>
          <t>Medium</t>
        </is>
      </c>
    </row>
    <row r="63">
      <c r="A63" s="19" t="inlineStr">
        <is>
          <t>A.8.11</t>
        </is>
      </c>
      <c r="B63" s="19" t="inlineStr">
        <is>
          <t>Data masking</t>
        </is>
      </c>
      <c r="C63" s="19" t="inlineStr">
        <is>
          <t>Data masking control supporting governance, risk reduction, and auditability.</t>
        </is>
      </c>
      <c r="D63" s="19" t="inlineStr">
        <is>
          <t>Technological</t>
        </is>
      </c>
      <c r="E63" s="19" t="inlineStr">
        <is>
          <t>High</t>
        </is>
      </c>
    </row>
    <row r="64">
      <c r="A64" s="19" t="inlineStr">
        <is>
          <t>A.8.12</t>
        </is>
      </c>
      <c r="B64" s="19" t="inlineStr">
        <is>
          <t>Data leakage prevention</t>
        </is>
      </c>
      <c r="C64" s="19" t="inlineStr">
        <is>
          <t>Data leakage prevention control supporting governance, risk reduction, and auditability.</t>
        </is>
      </c>
      <c r="D64" s="19" t="inlineStr">
        <is>
          <t>Technological</t>
        </is>
      </c>
      <c r="E64" s="19" t="inlineStr">
        <is>
          <t>Critical</t>
        </is>
      </c>
    </row>
    <row r="65">
      <c r="A65" s="19" t="inlineStr">
        <is>
          <t>A.8.13</t>
        </is>
      </c>
      <c r="B65" s="19" t="inlineStr">
        <is>
          <t>Information backup</t>
        </is>
      </c>
      <c r="C65" s="19" t="inlineStr">
        <is>
          <t>Information backup control supporting governance, risk reduction, and auditability.</t>
        </is>
      </c>
      <c r="D65" s="19" t="inlineStr">
        <is>
          <t>Technological</t>
        </is>
      </c>
      <c r="E65" s="19" t="inlineStr">
        <is>
          <t>Critical</t>
        </is>
      </c>
    </row>
    <row r="66">
      <c r="A66" s="19" t="inlineStr">
        <is>
          <t>A.8.14</t>
        </is>
      </c>
      <c r="B66" s="19" t="inlineStr">
        <is>
          <t>Redundancy of information processing facilities</t>
        </is>
      </c>
      <c r="C66" s="19" t="inlineStr">
        <is>
          <t>Redundancy of information processing facilities control supporting governance, risk reduction, and auditability.</t>
        </is>
      </c>
      <c r="D66" s="19" t="inlineStr">
        <is>
          <t>Technological</t>
        </is>
      </c>
      <c r="E66" s="19" t="inlineStr">
        <is>
          <t>High</t>
        </is>
      </c>
    </row>
    <row r="67">
      <c r="A67" s="19" t="inlineStr">
        <is>
          <t>A.8.15</t>
        </is>
      </c>
      <c r="B67" s="19" t="inlineStr">
        <is>
          <t>Logging</t>
        </is>
      </c>
      <c r="C67" s="19" t="inlineStr">
        <is>
          <t>Logging control supporting governance, risk reduction, and auditability.</t>
        </is>
      </c>
      <c r="D67" s="19" t="inlineStr">
        <is>
          <t>Technological</t>
        </is>
      </c>
      <c r="E67" s="19" t="inlineStr">
        <is>
          <t>High</t>
        </is>
      </c>
    </row>
    <row r="68">
      <c r="A68" s="19" t="inlineStr">
        <is>
          <t>A.8.16</t>
        </is>
      </c>
      <c r="B68" s="19" t="inlineStr">
        <is>
          <t>Monitoring activities</t>
        </is>
      </c>
      <c r="C68" s="19" t="inlineStr">
        <is>
          <t>Monitoring activities control supporting governance, risk reduction, and auditability.</t>
        </is>
      </c>
      <c r="D68" s="19" t="inlineStr">
        <is>
          <t>Technological</t>
        </is>
      </c>
      <c r="E68" s="19" t="inlineStr">
        <is>
          <t>High</t>
        </is>
      </c>
    </row>
    <row r="69">
      <c r="A69" s="19" t="inlineStr">
        <is>
          <t>A.8.17</t>
        </is>
      </c>
      <c r="B69" s="19" t="inlineStr">
        <is>
          <t>Clock synchronization</t>
        </is>
      </c>
      <c r="C69" s="19" t="inlineStr">
        <is>
          <t>Clock synchronization control supporting governance, risk reduction, and auditability.</t>
        </is>
      </c>
      <c r="D69" s="19" t="inlineStr">
        <is>
          <t>Technological</t>
        </is>
      </c>
      <c r="E69" s="19" t="inlineStr">
        <is>
          <t>Medium</t>
        </is>
      </c>
    </row>
    <row r="70">
      <c r="A70" s="19" t="inlineStr">
        <is>
          <t>A.8.18</t>
        </is>
      </c>
      <c r="B70" s="19" t="inlineStr">
        <is>
          <t>Use of privileged utility programs</t>
        </is>
      </c>
      <c r="C70" s="19" t="inlineStr">
        <is>
          <t>Use of privileged utility programs control supporting governance, risk reduction, and auditability.</t>
        </is>
      </c>
      <c r="D70" s="19" t="inlineStr">
        <is>
          <t>Technological</t>
        </is>
      </c>
      <c r="E70" s="19" t="inlineStr">
        <is>
          <t>High</t>
        </is>
      </c>
    </row>
    <row r="71">
      <c r="A71" s="19" t="inlineStr">
        <is>
          <t>A.8.19</t>
        </is>
      </c>
      <c r="B71" s="19" t="inlineStr">
        <is>
          <t>Installation of software on operational systems</t>
        </is>
      </c>
      <c r="C71" s="19" t="inlineStr">
        <is>
          <t>Installation of software on operational systems control supporting governance, risk reduction, and auditability.</t>
        </is>
      </c>
      <c r="D71" s="19" t="inlineStr">
        <is>
          <t>Technological</t>
        </is>
      </c>
      <c r="E71" s="19" t="inlineStr">
        <is>
          <t>High</t>
        </is>
      </c>
    </row>
    <row r="72">
      <c r="A72" s="19" t="inlineStr">
        <is>
          <t>A.8.2</t>
        </is>
      </c>
      <c r="B72" s="19" t="inlineStr">
        <is>
          <t>Privileged access rights</t>
        </is>
      </c>
      <c r="C72" s="19" t="inlineStr">
        <is>
          <t>Privileged access rights control supporting governance, risk reduction, and auditability.</t>
        </is>
      </c>
      <c r="D72" s="19" t="inlineStr">
        <is>
          <t>Technological</t>
        </is>
      </c>
      <c r="E72" s="19" t="inlineStr">
        <is>
          <t>Critical</t>
        </is>
      </c>
    </row>
    <row r="73">
      <c r="A73" s="19" t="inlineStr">
        <is>
          <t>A.8.20</t>
        </is>
      </c>
      <c r="B73" s="19" t="inlineStr">
        <is>
          <t>Networks security</t>
        </is>
      </c>
      <c r="C73" s="19" t="inlineStr">
        <is>
          <t>Networks security control supporting governance, risk reduction, and auditability.</t>
        </is>
      </c>
      <c r="D73" s="19" t="inlineStr">
        <is>
          <t>Technological</t>
        </is>
      </c>
      <c r="E73" s="19" t="inlineStr">
        <is>
          <t>Critical</t>
        </is>
      </c>
    </row>
    <row r="74">
      <c r="A74" s="19" t="inlineStr">
        <is>
          <t>A.8.21</t>
        </is>
      </c>
      <c r="B74" s="19" t="inlineStr">
        <is>
          <t>Security of network services</t>
        </is>
      </c>
      <c r="C74" s="19" t="inlineStr">
        <is>
          <t>Security of network services control supporting governance, risk reduction, and auditability.</t>
        </is>
      </c>
      <c r="D74" s="19" t="inlineStr">
        <is>
          <t>Technological</t>
        </is>
      </c>
      <c r="E74" s="19" t="inlineStr">
        <is>
          <t>High</t>
        </is>
      </c>
    </row>
    <row r="75">
      <c r="A75" s="19" t="inlineStr">
        <is>
          <t>A.8.22</t>
        </is>
      </c>
      <c r="B75" s="19" t="inlineStr">
        <is>
          <t>Segregation of networks</t>
        </is>
      </c>
      <c r="C75" s="19" t="inlineStr">
        <is>
          <t>Segregation of networks control supporting governance, risk reduction, and auditability.</t>
        </is>
      </c>
      <c r="D75" s="19" t="inlineStr">
        <is>
          <t>Technological</t>
        </is>
      </c>
      <c r="E75" s="19" t="inlineStr">
        <is>
          <t>High</t>
        </is>
      </c>
    </row>
    <row r="76">
      <c r="A76" s="19" t="inlineStr">
        <is>
          <t>A.8.23</t>
        </is>
      </c>
      <c r="B76" s="19" t="inlineStr">
        <is>
          <t>Web filtering</t>
        </is>
      </c>
      <c r="C76" s="19" t="inlineStr">
        <is>
          <t>Web filtering control supporting governance, risk reduction, and auditability.</t>
        </is>
      </c>
      <c r="D76" s="19" t="inlineStr">
        <is>
          <t>Technological</t>
        </is>
      </c>
      <c r="E76" s="19" t="inlineStr">
        <is>
          <t>Medium</t>
        </is>
      </c>
    </row>
    <row r="77">
      <c r="A77" s="19" t="inlineStr">
        <is>
          <t>A.8.24</t>
        </is>
      </c>
      <c r="B77" s="19" t="inlineStr">
        <is>
          <t>Use of cryptography</t>
        </is>
      </c>
      <c r="C77" s="19" t="inlineStr">
        <is>
          <t>Use of cryptography control supporting governance, risk reduction, and auditability.</t>
        </is>
      </c>
      <c r="D77" s="19" t="inlineStr">
        <is>
          <t>Technological</t>
        </is>
      </c>
      <c r="E77" s="19" t="inlineStr">
        <is>
          <t>Critical</t>
        </is>
      </c>
    </row>
    <row r="78">
      <c r="A78" s="19" t="inlineStr">
        <is>
          <t>A.8.25</t>
        </is>
      </c>
      <c r="B78" s="19" t="inlineStr">
        <is>
          <t>Secure development life cycle</t>
        </is>
      </c>
      <c r="C78" s="19" t="inlineStr">
        <is>
          <t>Secure development life cycle control supporting governance, risk reduction, and auditability.</t>
        </is>
      </c>
      <c r="D78" s="19" t="inlineStr">
        <is>
          <t>Technological</t>
        </is>
      </c>
      <c r="E78" s="19" t="inlineStr">
        <is>
          <t>High</t>
        </is>
      </c>
    </row>
    <row r="79">
      <c r="A79" s="19" t="inlineStr">
        <is>
          <t>A.8.26</t>
        </is>
      </c>
      <c r="B79" s="19" t="inlineStr">
        <is>
          <t>Application security requirements</t>
        </is>
      </c>
      <c r="C79" s="19" t="inlineStr">
        <is>
          <t>Application security requirements control supporting governance, risk reduction, and auditability.</t>
        </is>
      </c>
      <c r="D79" s="19" t="inlineStr">
        <is>
          <t>Technological</t>
        </is>
      </c>
      <c r="E79" s="19" t="inlineStr">
        <is>
          <t>High</t>
        </is>
      </c>
    </row>
    <row r="80">
      <c r="A80" s="19" t="inlineStr">
        <is>
          <t>A.8.27</t>
        </is>
      </c>
      <c r="B80" s="19" t="inlineStr">
        <is>
          <t>Secure system architecture and engineering principles</t>
        </is>
      </c>
      <c r="C80" s="19" t="inlineStr">
        <is>
          <t>Secure system architecture and engineering principles control supporting governance, risk reduction, and auditability.</t>
        </is>
      </c>
      <c r="D80" s="19" t="inlineStr">
        <is>
          <t>Technological</t>
        </is>
      </c>
      <c r="E80" s="19" t="inlineStr">
        <is>
          <t>High</t>
        </is>
      </c>
    </row>
    <row r="81">
      <c r="A81" s="19" t="inlineStr">
        <is>
          <t>A.8.28</t>
        </is>
      </c>
      <c r="B81" s="19" t="inlineStr">
        <is>
          <t>Secure coding</t>
        </is>
      </c>
      <c r="C81" s="19" t="inlineStr">
        <is>
          <t>Secure coding control supporting governance, risk reduction, and auditability.</t>
        </is>
      </c>
      <c r="D81" s="19" t="inlineStr">
        <is>
          <t>Technological</t>
        </is>
      </c>
      <c r="E81" s="19" t="inlineStr">
        <is>
          <t>High</t>
        </is>
      </c>
    </row>
    <row r="82">
      <c r="A82" s="19" t="inlineStr">
        <is>
          <t>A.8.29</t>
        </is>
      </c>
      <c r="B82" s="19" t="inlineStr">
        <is>
          <t>Security testing in development and acceptance</t>
        </is>
      </c>
      <c r="C82" s="19" t="inlineStr">
        <is>
          <t>Security testing in development and acceptance control supporting governance, risk reduction, and auditability.</t>
        </is>
      </c>
      <c r="D82" s="19" t="inlineStr">
        <is>
          <t>Technological</t>
        </is>
      </c>
      <c r="E82" s="19" t="inlineStr">
        <is>
          <t>High</t>
        </is>
      </c>
    </row>
    <row r="83">
      <c r="A83" s="19" t="inlineStr">
        <is>
          <t>A.8.3</t>
        </is>
      </c>
      <c r="B83" s="19" t="inlineStr">
        <is>
          <t>Information access restriction</t>
        </is>
      </c>
      <c r="C83" s="19" t="inlineStr">
        <is>
          <t>Information access restriction control supporting governance, risk reduction, and auditability.</t>
        </is>
      </c>
      <c r="D83" s="19" t="inlineStr">
        <is>
          <t>Technological</t>
        </is>
      </c>
      <c r="E83" s="19" t="inlineStr">
        <is>
          <t>Critical</t>
        </is>
      </c>
    </row>
    <row r="84">
      <c r="A84" s="19" t="inlineStr">
        <is>
          <t>A.8.30</t>
        </is>
      </c>
      <c r="B84" s="19" t="inlineStr">
        <is>
          <t>Outsourced development</t>
        </is>
      </c>
      <c r="C84" s="19" t="inlineStr">
        <is>
          <t>Outsourced development control supporting governance, risk reduction, and auditability.</t>
        </is>
      </c>
      <c r="D84" s="19" t="inlineStr">
        <is>
          <t>Technological</t>
        </is>
      </c>
      <c r="E84" s="19" t="inlineStr">
        <is>
          <t>High</t>
        </is>
      </c>
    </row>
    <row r="85">
      <c r="A85" s="19" t="inlineStr">
        <is>
          <t>A.8.31</t>
        </is>
      </c>
      <c r="B85" s="19" t="inlineStr">
        <is>
          <t>Separation of development, test and production environments</t>
        </is>
      </c>
      <c r="C85" s="19" t="inlineStr">
        <is>
          <t>Separation of development, test and production environments control supporting governance, risk reduction, and auditability.</t>
        </is>
      </c>
      <c r="D85" s="19" t="inlineStr">
        <is>
          <t>Technological</t>
        </is>
      </c>
      <c r="E85" s="19" t="inlineStr">
        <is>
          <t>High</t>
        </is>
      </c>
    </row>
    <row r="86">
      <c r="A86" s="19" t="inlineStr">
        <is>
          <t>A.8.32</t>
        </is>
      </c>
      <c r="B86" s="19" t="inlineStr">
        <is>
          <t>Change management</t>
        </is>
      </c>
      <c r="C86" s="19" t="inlineStr">
        <is>
          <t>Change management control supporting governance, risk reduction, and auditability.</t>
        </is>
      </c>
      <c r="D86" s="19" t="inlineStr">
        <is>
          <t>Technological</t>
        </is>
      </c>
      <c r="E86" s="19" t="inlineStr">
        <is>
          <t>High</t>
        </is>
      </c>
    </row>
    <row r="87">
      <c r="A87" s="19" t="inlineStr">
        <is>
          <t>A.8.33</t>
        </is>
      </c>
      <c r="B87" s="19" t="inlineStr">
        <is>
          <t>Test information</t>
        </is>
      </c>
      <c r="C87" s="19" t="inlineStr">
        <is>
          <t>Test information control supporting governance, risk reduction, and auditability.</t>
        </is>
      </c>
      <c r="D87" s="19" t="inlineStr">
        <is>
          <t>Technological</t>
        </is>
      </c>
      <c r="E87" s="19" t="inlineStr">
        <is>
          <t>Medium</t>
        </is>
      </c>
    </row>
    <row r="88">
      <c r="A88" s="12" t="inlineStr">
        <is>
          <t>A.8.34</t>
        </is>
      </c>
      <c r="B88" s="12" t="inlineStr">
        <is>
          <t>Protection of information systems during audit testing</t>
        </is>
      </c>
      <c r="C88" s="12" t="inlineStr">
        <is>
          <t>Protection of information systems during audit testing control supporting governance, risk reduction, and auditability.</t>
        </is>
      </c>
      <c r="D88" s="12" t="inlineStr">
        <is>
          <t>Technological</t>
        </is>
      </c>
      <c r="E88" s="12" t="inlineStr">
        <is>
          <t>Medium</t>
        </is>
      </c>
    </row>
    <row r="89">
      <c r="A89" s="12" t="inlineStr">
        <is>
          <t>A.8.4</t>
        </is>
      </c>
      <c r="B89" s="12" t="inlineStr">
        <is>
          <t>Access to source code</t>
        </is>
      </c>
      <c r="C89" s="12" t="inlineStr">
        <is>
          <t>Access to source code control supporting governance, risk reduction, and auditability.</t>
        </is>
      </c>
      <c r="D89" s="12" t="inlineStr">
        <is>
          <t>Technological</t>
        </is>
      </c>
      <c r="E89" s="12" t="inlineStr">
        <is>
          <t>High</t>
        </is>
      </c>
    </row>
    <row r="90">
      <c r="A90" s="12" t="inlineStr">
        <is>
          <t>A.8.5</t>
        </is>
      </c>
      <c r="B90" s="12" t="inlineStr">
        <is>
          <t>Secure authentication</t>
        </is>
      </c>
      <c r="C90" s="12" t="inlineStr">
        <is>
          <t>Secure authentication control supporting governance, risk reduction, and auditability.</t>
        </is>
      </c>
      <c r="D90" s="12" t="inlineStr">
        <is>
          <t>Technological</t>
        </is>
      </c>
      <c r="E90" s="12" t="inlineStr">
        <is>
          <t>Critical</t>
        </is>
      </c>
    </row>
    <row r="91">
      <c r="A91" s="12" t="inlineStr">
        <is>
          <t>A.8.6</t>
        </is>
      </c>
      <c r="B91" s="12" t="inlineStr">
        <is>
          <t>Capacity management</t>
        </is>
      </c>
      <c r="C91" s="12" t="inlineStr">
        <is>
          <t>Capacity management control supporting governance, risk reduction, and auditability.</t>
        </is>
      </c>
      <c r="D91" s="12" t="inlineStr">
        <is>
          <t>Technological</t>
        </is>
      </c>
      <c r="E91" s="12" t="inlineStr">
        <is>
          <t>Medium</t>
        </is>
      </c>
    </row>
    <row r="92">
      <c r="A92" s="12" t="inlineStr">
        <is>
          <t>A.8.7</t>
        </is>
      </c>
      <c r="B92" s="12" t="inlineStr">
        <is>
          <t>Protection against malware</t>
        </is>
      </c>
      <c r="C92" s="12" t="inlineStr">
        <is>
          <t>Protection against malware control supporting governance, risk reduction, and auditability.</t>
        </is>
      </c>
      <c r="D92" s="12" t="inlineStr">
        <is>
          <t>Technological</t>
        </is>
      </c>
      <c r="E92" s="12" t="inlineStr">
        <is>
          <t>Critical</t>
        </is>
      </c>
    </row>
    <row r="93">
      <c r="A93" s="12" t="inlineStr">
        <is>
          <t>A.8.8</t>
        </is>
      </c>
      <c r="B93" s="12" t="inlineStr">
        <is>
          <t>Management of technical vulnerabilities</t>
        </is>
      </c>
      <c r="C93" s="12" t="inlineStr">
        <is>
          <t>Management of technical vulnerabilities control supporting governance, risk reduction, and auditability.</t>
        </is>
      </c>
      <c r="D93" s="12" t="inlineStr">
        <is>
          <t>Technological</t>
        </is>
      </c>
      <c r="E93" s="12" t="inlineStr">
        <is>
          <t>Critical</t>
        </is>
      </c>
    </row>
    <row r="94">
      <c r="A94" s="12" t="inlineStr">
        <is>
          <t>A.8.9</t>
        </is>
      </c>
      <c r="B94" s="12" t="inlineStr">
        <is>
          <t>Configuration management</t>
        </is>
      </c>
      <c r="C94" s="12" t="inlineStr">
        <is>
          <t>Configuration management control supporting governance, risk reduction, and auditability.</t>
        </is>
      </c>
      <c r="D94" s="12" t="inlineStr">
        <is>
          <t>Technological</t>
        </is>
      </c>
      <c r="E94" s="12" t="inlineStr">
        <is>
          <t>High</t>
        </is>
      </c>
    </row>
  </sheetData>
  <autoFilter ref="A1:E8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30" customWidth="1" style="12" min="2" max="2"/>
    <col width="14" customWidth="1" style="12" min="3" max="3"/>
    <col width="32" customWidth="1" style="12" min="4" max="5"/>
    <col width="12" customWidth="1" style="13" min="5" max="5"/>
    <col width="16" customWidth="1" style="12" min="6" max="6"/>
    <col width="16" customWidth="1" style="12" min="7" max="7"/>
    <col width="14" customWidth="1" style="12" min="8" max="8"/>
    <col width="18" customWidth="1" style="13" min="9" max="9"/>
  </cols>
  <sheetData>
    <row r="1" ht="17.35" customHeight="1" s="13">
      <c r="A1" s="16" t="inlineStr">
        <is>
          <t>Control ID</t>
        </is>
      </c>
      <c r="B1" s="29" t="n"/>
      <c r="C1" s="29" t="n"/>
      <c r="D1" s="29" t="n"/>
      <c r="E1" s="29" t="n"/>
      <c r="F1" s="29" t="n"/>
      <c r="G1" s="29" t="n"/>
      <c r="H1" s="30" t="n"/>
      <c r="I1" s="16" t="inlineStr">
        <is>
          <t>Effectiveness Score</t>
        </is>
      </c>
    </row>
    <row r="2" ht="15" customHeight="1" s="13">
      <c r="A2" s="19" t="inlineStr">
        <is>
          <t>A.5.15</t>
        </is>
      </c>
      <c r="B2" s="19" t="inlineStr">
        <is>
          <t>Access control</t>
        </is>
      </c>
      <c r="C2" s="19" t="n">
        <v>4</v>
      </c>
      <c r="D2" s="19" t="inlineStr">
        <is>
          <t>R-001, R-003, R-005, R-014</t>
        </is>
      </c>
      <c r="E2" s="19" t="inlineStr">
        <is>
          <t>45%</t>
        </is>
      </c>
      <c r="F2" s="19" t="inlineStr">
        <is>
          <t>Security Lead</t>
        </is>
      </c>
      <c r="G2" s="19" t="inlineStr">
        <is>
          <t>2026-04-15</t>
        </is>
      </c>
      <c r="H2" s="19" t="inlineStr">
        <is>
          <t>In Progress</t>
        </is>
      </c>
      <c r="I2" s="19" t="n">
        <v>3</v>
      </c>
    </row>
    <row r="3" ht="15" customHeight="1" s="13">
      <c r="A3" s="19" t="inlineStr">
        <is>
          <t>A.5.24</t>
        </is>
      </c>
      <c r="B3" s="19" t="inlineStr">
        <is>
          <t>Incident response planning</t>
        </is>
      </c>
      <c r="C3" s="19" t="n">
        <v>3</v>
      </c>
      <c r="D3" s="19" t="inlineStr">
        <is>
          <t>R-002, R-010, R-011</t>
        </is>
      </c>
      <c r="E3" s="19" t="inlineStr">
        <is>
          <t>40%</t>
        </is>
      </c>
      <c r="F3" s="19" t="inlineStr">
        <is>
          <t>CISO</t>
        </is>
      </c>
      <c r="G3" s="19" t="inlineStr">
        <is>
          <t>2026-05-01</t>
        </is>
      </c>
      <c r="H3" s="19" t="inlineStr">
        <is>
          <t>Planned</t>
        </is>
      </c>
      <c r="I3" s="19" t="n">
        <v>2</v>
      </c>
    </row>
    <row r="4" ht="15" customHeight="1" s="13">
      <c r="A4" s="19" t="inlineStr">
        <is>
          <t>A.8.13</t>
        </is>
      </c>
      <c r="B4" s="19" t="inlineStr">
        <is>
          <t>Information backup</t>
        </is>
      </c>
      <c r="C4" s="19" t="n">
        <v>3</v>
      </c>
      <c r="D4" s="19" t="inlineStr">
        <is>
          <t>R-002, R-006, R-009</t>
        </is>
      </c>
      <c r="E4" s="19" t="inlineStr">
        <is>
          <t>55%</t>
        </is>
      </c>
      <c r="F4" s="19" t="inlineStr">
        <is>
          <t>Infrastructure</t>
        </is>
      </c>
      <c r="G4" s="19" t="inlineStr">
        <is>
          <t>2026-04-20</t>
        </is>
      </c>
      <c r="H4" s="19" t="inlineStr">
        <is>
          <t>In Progress</t>
        </is>
      </c>
      <c r="I4" s="19" t="n">
        <v>4</v>
      </c>
    </row>
    <row r="5" ht="15" customHeight="1" s="13">
      <c r="A5" s="19" t="inlineStr">
        <is>
          <t>A.8.20</t>
        </is>
      </c>
      <c r="B5" s="19" t="inlineStr">
        <is>
          <t>Network security</t>
        </is>
      </c>
      <c r="C5" s="19" t="n">
        <v>3</v>
      </c>
      <c r="D5" s="19" t="inlineStr">
        <is>
          <t>R-004, R-006, R-012</t>
        </is>
      </c>
      <c r="E5" s="19" t="inlineStr">
        <is>
          <t>50%</t>
        </is>
      </c>
      <c r="F5" s="19" t="inlineStr">
        <is>
          <t>Network Lead</t>
        </is>
      </c>
      <c r="G5" s="19" t="inlineStr">
        <is>
          <t>2026-06-01</t>
        </is>
      </c>
      <c r="H5" s="19" t="inlineStr">
        <is>
          <t>Planned</t>
        </is>
      </c>
      <c r="I5" s="19" t="n">
        <v>3</v>
      </c>
    </row>
    <row r="6" ht="15" customHeight="1" s="13">
      <c r="A6" s="19" t="inlineStr">
        <is>
          <t>A.8.24</t>
        </is>
      </c>
      <c r="B6" s="19" t="inlineStr">
        <is>
          <t>Use of cryptography</t>
        </is>
      </c>
      <c r="C6" s="19" t="n">
        <v>2</v>
      </c>
      <c r="D6" s="19" t="inlineStr">
        <is>
          <t>R-001, R-007</t>
        </is>
      </c>
      <c r="E6" s="19" t="inlineStr">
        <is>
          <t>60%</t>
        </is>
      </c>
      <c r="F6" s="19" t="inlineStr">
        <is>
          <t>IT Manager</t>
        </is>
      </c>
      <c r="G6" s="19" t="inlineStr">
        <is>
          <t>2026-05-30</t>
        </is>
      </c>
      <c r="H6" s="19" t="inlineStr">
        <is>
          <t>Planned</t>
        </is>
      </c>
      <c r="I6" s="19" t="n">
        <v>3</v>
      </c>
    </row>
    <row r="7" ht="15" customHeight="1" s="13">
      <c r="A7" s="19" t="inlineStr">
        <is>
          <t>A.6.3</t>
        </is>
      </c>
      <c r="B7" s="19" t="inlineStr">
        <is>
          <t>Security awareness training</t>
        </is>
      </c>
      <c r="C7" s="19" t="n">
        <v>2</v>
      </c>
      <c r="D7" s="19" t="inlineStr">
        <is>
          <t>R-003, R-010</t>
        </is>
      </c>
      <c r="E7" s="19" t="inlineStr">
        <is>
          <t>35%</t>
        </is>
      </c>
      <c r="F7" s="19" t="inlineStr">
        <is>
          <t>HR Manager</t>
        </is>
      </c>
      <c r="G7" s="19" t="inlineStr">
        <is>
          <t>2026-04-30</t>
        </is>
      </c>
      <c r="H7" s="19" t="inlineStr">
        <is>
          <t>In Progress</t>
        </is>
      </c>
      <c r="I7" s="19" t="n">
        <v>4</v>
      </c>
    </row>
    <row r="8" ht="15" customHeight="1" s="13"/>
    <row r="9" ht="15" customHeight="1" s="13"/>
    <row r="10" ht="15" customHeight="1" s="13"/>
    <row r="11" ht="15" customHeight="1" s="13"/>
    <row r="12" ht="15" customHeight="1" s="13"/>
    <row r="13" ht="15" customHeight="1" s="13"/>
    <row r="14" ht="15" customHeight="1" s="13"/>
    <row r="15" ht="15" customHeight="1" s="13"/>
    <row r="16" ht="15" customHeight="1" s="13"/>
    <row r="17" ht="15" customHeight="1" s="13"/>
    <row r="18" ht="15" customHeight="1" s="13"/>
    <row r="19" ht="15" customHeight="1" s="13"/>
    <row r="20" ht="15" customHeight="1" s="13"/>
    <row r="21" ht="15" customHeight="1" s="13"/>
    <row r="22" ht="15" customHeight="1" s="13"/>
    <row r="23" ht="15" customHeight="1" s="13"/>
    <row r="24" ht="15" customHeight="1" s="13"/>
    <row r="25" ht="15" customHeight="1" s="13"/>
    <row r="26" ht="15" customHeight="1" s="13"/>
    <row r="27" ht="15" customHeight="1" s="13"/>
    <row r="28" ht="15" customHeight="1" s="13"/>
    <row r="29" ht="15" customHeight="1" s="13"/>
    <row r="30" ht="15" customHeight="1" s="13"/>
    <row r="31" ht="15" customHeight="1" s="13"/>
    <row r="32" ht="15" customHeight="1" s="13"/>
    <row r="33" ht="15" customHeight="1" s="13"/>
    <row r="34" ht="15" customHeight="1" s="13"/>
    <row r="35" ht="15" customHeight="1" s="13"/>
    <row r="36" ht="15" customHeight="1" s="13"/>
    <row r="37" ht="15" customHeight="1" s="13"/>
    <row r="38" ht="15" customHeight="1" s="13"/>
    <row r="39" ht="15" customHeight="1" s="13"/>
    <row r="40" ht="15" customHeight="1" s="13"/>
    <row r="41" ht="15" customHeight="1" s="13"/>
    <row r="42" ht="15" customHeight="1" s="13"/>
    <row r="43" ht="15" customHeight="1" s="13"/>
    <row r="44" ht="15" customHeight="1" s="13"/>
    <row r="45" ht="15" customHeight="1" s="13"/>
    <row r="46" ht="15" customHeight="1" s="13"/>
    <row r="47" ht="15" customHeight="1" s="13"/>
    <row r="48" ht="15" customHeight="1" s="13"/>
    <row r="49" ht="15" customHeight="1" s="13"/>
  </sheetData>
  <autoFilter ref="A1:I7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2"/>
    <col width="12" customWidth="1" style="13" min="2" max="2"/>
    <col width="10" customWidth="1" style="12" min="3" max="6"/>
    <col width="10" customWidth="1" style="13" min="4" max="4"/>
    <col width="10" customWidth="1" style="13" min="5" max="5"/>
    <col width="10" customWidth="1" style="13" min="6" max="6"/>
    <col width="18" customWidth="1" style="13" min="7" max="7"/>
    <col width="20" customWidth="1" style="13" min="8" max="8"/>
  </cols>
  <sheetData>
    <row r="1" ht="17.35" customHeight="1" s="13">
      <c r="A1" s="16" t="inlineStr">
        <is>
          <t>Month</t>
        </is>
      </c>
      <c r="B1" s="29" t="n"/>
      <c r="C1" s="29" t="n"/>
      <c r="D1" s="29" t="n"/>
      <c r="E1" s="29" t="n"/>
      <c r="F1" s="30" t="n"/>
      <c r="G1" s="16" t="inlineStr">
        <is>
          <t>Average Risk Score</t>
        </is>
      </c>
      <c r="H1" s="16" t="inlineStr">
        <is>
          <t>Remediated This Month</t>
        </is>
      </c>
    </row>
    <row r="2" ht="15" customHeight="1" s="13">
      <c r="A2" s="19" t="inlineStr">
        <is>
          <t>Jan</t>
        </is>
      </c>
      <c r="B2" s="27" t="n">
        <v>25</v>
      </c>
      <c r="C2" s="27" t="n">
        <v>3</v>
      </c>
      <c r="D2" s="27" t="n">
        <v>8</v>
      </c>
      <c r="E2" s="27" t="n">
        <v>10</v>
      </c>
      <c r="F2" s="27" t="n">
        <v>4</v>
      </c>
      <c r="G2" s="27" t="n">
        <v>11.2</v>
      </c>
      <c r="H2" s="27" t="n">
        <v>0</v>
      </c>
    </row>
    <row r="3" ht="15" customHeight="1" s="13">
      <c r="A3" s="19" t="inlineStr">
        <is>
          <t>Feb</t>
        </is>
      </c>
      <c r="B3" s="27" t="n">
        <v>24</v>
      </c>
      <c r="C3" s="27" t="n">
        <v>2</v>
      </c>
      <c r="D3" s="27" t="n">
        <v>8</v>
      </c>
      <c r="E3" s="27" t="n">
        <v>11</v>
      </c>
      <c r="F3" s="27" t="n">
        <v>3</v>
      </c>
      <c r="G3" s="27" t="n">
        <v>10.8</v>
      </c>
      <c r="H3" s="27" t="n">
        <v>1</v>
      </c>
    </row>
    <row r="4" ht="15" customHeight="1" s="13">
      <c r="A4" s="19" t="inlineStr">
        <is>
          <t>Mar</t>
        </is>
      </c>
      <c r="B4" s="27" t="n">
        <v>22</v>
      </c>
      <c r="C4" s="27" t="n">
        <v>1</v>
      </c>
      <c r="D4" s="27" t="n">
        <v>7</v>
      </c>
      <c r="E4" s="27" t="n">
        <v>11</v>
      </c>
      <c r="F4" s="27" t="n">
        <v>3</v>
      </c>
      <c r="G4" s="27" t="n">
        <v>10.2</v>
      </c>
      <c r="H4" s="27" t="n">
        <v>2</v>
      </c>
    </row>
    <row r="5" ht="15" customHeight="1" s="13">
      <c r="A5" s="19" t="inlineStr">
        <is>
          <t>Apr</t>
        </is>
      </c>
      <c r="B5" s="27" t="n">
        <v>20</v>
      </c>
      <c r="C5" s="27" t="n">
        <v>0</v>
      </c>
      <c r="D5" s="27" t="n">
        <v>6</v>
      </c>
      <c r="E5" s="27" t="n">
        <v>11</v>
      </c>
      <c r="F5" s="27" t="n">
        <v>3</v>
      </c>
      <c r="G5" s="27" t="n">
        <v>9.800000000000001</v>
      </c>
      <c r="H5" s="27" t="n">
        <v>2</v>
      </c>
    </row>
    <row r="6" ht="15" customHeight="1" s="13">
      <c r="A6" s="19" t="inlineStr">
        <is>
          <t>May</t>
        </is>
      </c>
      <c r="B6" s="27" t="n">
        <v>18</v>
      </c>
      <c r="C6" s="27" t="n">
        <v>0</v>
      </c>
      <c r="D6" s="27" t="n">
        <v>5</v>
      </c>
      <c r="E6" s="27" t="n">
        <v>10</v>
      </c>
      <c r="F6" s="27" t="n">
        <v>3</v>
      </c>
      <c r="G6" s="27" t="n">
        <v>9.300000000000001</v>
      </c>
      <c r="H6" s="27" t="n">
        <v>2</v>
      </c>
    </row>
    <row r="7" ht="15" customHeight="1" s="13">
      <c r="A7" s="19" t="inlineStr">
        <is>
          <t>Jun</t>
        </is>
      </c>
      <c r="B7" s="27" t="n">
        <v>17</v>
      </c>
      <c r="C7" s="27" t="n">
        <v>0</v>
      </c>
      <c r="D7" s="27" t="n">
        <v>4</v>
      </c>
      <c r="E7" s="27" t="n">
        <v>10</v>
      </c>
      <c r="F7" s="27" t="n">
        <v>3</v>
      </c>
      <c r="G7" s="27" t="n">
        <v>8.9</v>
      </c>
      <c r="H7" s="27" t="n">
        <v>1</v>
      </c>
    </row>
    <row r="8" ht="15" customHeight="1" s="13"/>
    <row r="9" ht="15" customHeight="1" s="13"/>
    <row r="10" ht="15" customHeight="1" s="13"/>
    <row r="11" ht="15" customHeight="1" s="13"/>
    <row r="12" ht="15" customHeight="1" s="13"/>
    <row r="13" ht="15" customHeight="1" s="13"/>
    <row r="14" ht="15" customHeight="1" s="13"/>
    <row r="15" ht="15" customHeight="1" s="13"/>
    <row r="16" ht="15" customHeight="1" s="13"/>
    <row r="17" ht="15" customHeight="1" s="13"/>
    <row r="18" ht="15" customHeight="1" s="13"/>
    <row r="19" ht="15" customHeight="1" s="13"/>
    <row r="20" ht="15" customHeight="1" s="13"/>
    <row r="21" ht="15" customHeight="1" s="13"/>
    <row r="22" ht="15" customHeight="1" s="13"/>
    <row r="23" ht="15" customHeight="1" s="13"/>
    <row r="24" ht="15" customHeight="1" s="13"/>
    <row r="25" ht="15" customHeight="1" s="13"/>
    <row r="26" ht="15" customHeight="1" s="13"/>
  </sheetData>
  <autoFilter ref="A1:H7"/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12" min="1" max="4"/>
  </cols>
  <sheetData>
    <row r="1" ht="17.35" customHeight="1" s="13">
      <c r="A1" s="14" t="inlineStr">
        <is>
          <t>ISO/IEC 27001 GRC Project - Enhanced Version</t>
        </is>
      </c>
    </row>
    <row r="3" ht="15" customHeight="1" s="13">
      <c r="A3" s="28" t="inlineStr">
        <is>
          <t>New in this workbook:</t>
        </is>
      </c>
    </row>
    <row r="4" ht="15" customHeight="1" s="13">
      <c r="A4" s="12" t="inlineStr">
        <is>
          <t>- Full Annex A control reference set</t>
        </is>
      </c>
    </row>
    <row r="5" ht="15" customHeight="1" s="13">
      <c r="A5" s="12" t="inlineStr">
        <is>
          <t>- Professional risk register structure</t>
        </is>
      </c>
    </row>
    <row r="6" ht="15" customHeight="1" s="13">
      <c r="A6" s="12" t="inlineStr">
        <is>
          <t>- Dropdown validation for data quality</t>
        </is>
      </c>
    </row>
    <row r="7" ht="15" customHeight="1" s="13">
      <c r="A7" s="12" t="inlineStr">
        <is>
          <t>- Improved formulas and dashboard metrics</t>
        </is>
      </c>
    </row>
    <row r="8" ht="15" customHeight="1" s="13">
      <c r="A8" s="12" t="inlineStr">
        <is>
          <t>- Control-risk mapping and trend tracking</t>
        </is>
      </c>
    </row>
    <row r="9" ht="15" customHeight="1" s="13"/>
    <row r="10" ht="15" customHeight="1" s="13"/>
    <row r="11" ht="15" customHeight="1" s="13">
      <c r="A11" s="12" t="inlineStr">
        <is>
          <t>Use Dashboard for a quick status view and Risk Register for day-to-day updates.</t>
        </is>
      </c>
    </row>
    <row r="13">
      <c r="A13" s="12" t="inlineStr">
        <is>
          <t>Additional professional sheets: Compliance Register, Audit Evidence.</t>
        </is>
      </c>
    </row>
    <row r="14">
      <c r="A14" s="12" t="inlineStr">
        <is>
          <t>Use them for evidence tracking, review cycles, and audit readiness.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0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</cols>
  <sheetData>
    <row r="1">
      <c r="A1" s="16" t="inlineStr">
        <is>
          <t>Likelihood</t>
        </is>
      </c>
      <c r="B1" s="16" t="inlineStr">
        <is>
          <t>Impact</t>
        </is>
      </c>
      <c r="C1" s="16" t="inlineStr">
        <is>
          <t>Status</t>
        </is>
      </c>
      <c r="D1" s="16" t="inlineStr">
        <is>
          <t>Owner</t>
        </is>
      </c>
      <c r="E1" s="16" t="inlineStr">
        <is>
          <t>Applicability</t>
        </is>
      </c>
      <c r="F1" s="16" t="inlineStr">
        <is>
          <t>Implementation</t>
        </is>
      </c>
    </row>
    <row r="2">
      <c r="A2" s="12" t="n">
        <v>1</v>
      </c>
      <c r="B2" s="12" t="n">
        <v>1</v>
      </c>
      <c r="C2" s="12" t="inlineStr">
        <is>
          <t>Open</t>
        </is>
      </c>
      <c r="D2" s="12" t="inlineStr">
        <is>
          <t>CISO</t>
        </is>
      </c>
      <c r="E2" s="12" t="inlineStr">
        <is>
          <t>Applicable</t>
        </is>
      </c>
      <c r="F2" s="12" t="inlineStr">
        <is>
          <t>Not Started</t>
        </is>
      </c>
    </row>
    <row r="3">
      <c r="A3" s="12" t="n">
        <v>2</v>
      </c>
      <c r="B3" s="12" t="n">
        <v>2</v>
      </c>
      <c r="C3" s="12" t="inlineStr">
        <is>
          <t>In Progress</t>
        </is>
      </c>
      <c r="D3" s="12" t="inlineStr">
        <is>
          <t>IT Manager</t>
        </is>
      </c>
      <c r="E3" s="12" t="inlineStr">
        <is>
          <t>Not Applicable</t>
        </is>
      </c>
      <c r="F3" s="12" t="inlineStr">
        <is>
          <t>In Progress</t>
        </is>
      </c>
    </row>
    <row r="4">
      <c r="A4" s="12" t="n">
        <v>3</v>
      </c>
      <c r="B4" s="12" t="n">
        <v>3</v>
      </c>
      <c r="C4" s="12" t="inlineStr">
        <is>
          <t>Planned</t>
        </is>
      </c>
      <c r="D4" s="12" t="inlineStr">
        <is>
          <t>Security Lead</t>
        </is>
      </c>
      <c r="F4" s="12" t="inlineStr">
        <is>
          <t>Implemented</t>
        </is>
      </c>
    </row>
    <row r="5">
      <c r="A5" s="12" t="n">
        <v>4</v>
      </c>
      <c r="B5" s="12" t="n">
        <v>4</v>
      </c>
      <c r="C5" s="12" t="inlineStr">
        <is>
          <t>Implemented</t>
        </is>
      </c>
      <c r="D5" s="12" t="inlineStr">
        <is>
          <t>Cloud Admin</t>
        </is>
      </c>
      <c r="F5" s="12" t="inlineStr">
        <is>
          <t>Complete</t>
        </is>
      </c>
    </row>
    <row r="6">
      <c r="A6" s="12" t="n">
        <v>5</v>
      </c>
      <c r="B6" s="12" t="n">
        <v>5</v>
      </c>
      <c r="C6" s="12" t="inlineStr">
        <is>
          <t>Complete</t>
        </is>
      </c>
      <c r="D6" s="12" t="inlineStr">
        <is>
          <t>HR Manager</t>
        </is>
      </c>
    </row>
    <row r="7">
      <c r="D7" s="12" t="inlineStr">
        <is>
          <t>DevOps</t>
        </is>
      </c>
    </row>
    <row r="8">
      <c r="D8" s="12" t="inlineStr">
        <is>
          <t>IT Support</t>
        </is>
      </c>
    </row>
    <row r="9">
      <c r="D9" s="12" t="inlineStr">
        <is>
          <t>Procurement</t>
        </is>
      </c>
    </row>
    <row r="10">
      <c r="D10" s="12" t="inlineStr">
        <is>
          <t>Infrastructure</t>
        </is>
      </c>
    </row>
    <row r="11">
      <c r="D11" s="12" t="inlineStr">
        <is>
          <t>Network Lead</t>
        </is>
      </c>
    </row>
    <row r="12">
      <c r="D12" s="12" t="inlineStr">
        <is>
          <t>Ops Manager</t>
        </is>
      </c>
    </row>
    <row r="13">
      <c r="D13" s="12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2026-04-09T18:10:53Z</dcterms:created>
  <dcterms:modified xmlns:dcterms="http://purl.org/dc/terms/" xmlns:xsi="http://www.w3.org/2001/XMLSchema-instance" xsi:type="dcterms:W3CDTF">2026-04-20T17:54:00Z</dcterms:modified>
  <cp:revision>0</cp:revision>
</cp:coreProperties>
</file>